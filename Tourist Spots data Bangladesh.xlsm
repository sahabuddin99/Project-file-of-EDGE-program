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9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5F33D893A51A3CF/Documents/"/>
    </mc:Choice>
  </mc:AlternateContent>
  <xr:revisionPtr revIDLastSave="7" documentId="8_{680451A5-B5D5-44E2-A7E1-5480D02C1986}" xr6:coauthVersionLast="36" xr6:coauthVersionMax="36" xr10:uidLastSave="{244EDEED-7ECE-4773-B5C7-B4ACD67CC762}"/>
  <bookViews>
    <workbookView xWindow="0" yWindow="0" windowWidth="23040" windowHeight="9252" firstSheet="3" activeTab="12" xr2:uid="{58BF476C-82D9-4E45-A156-DE87282F0576}"/>
  </bookViews>
  <sheets>
    <sheet name="Data Entry Form" sheetId="4" r:id="rId1"/>
    <sheet name="Data Shet" sheetId="1" r:id="rId2"/>
    <sheet name="Question sheet" sheetId="3" r:id="rId3"/>
    <sheet name="Ans. Q1" sheetId="5" r:id="rId4"/>
    <sheet name="Ans. Q2" sheetId="6" r:id="rId5"/>
    <sheet name="Ans. Q3" sheetId="7" r:id="rId6"/>
    <sheet name="Ans. Q4" sheetId="8" r:id="rId7"/>
    <sheet name="Ans. Q5" sheetId="25" r:id="rId8"/>
    <sheet name="Ans. Q6" sheetId="10" r:id="rId9"/>
    <sheet name="Ans. Q7" sheetId="12" r:id="rId10"/>
    <sheet name="Ans. Q8" sheetId="22" r:id="rId11"/>
    <sheet name="Ans. Q9" sheetId="13" r:id="rId12"/>
    <sheet name="Data Form eliment" sheetId="2" r:id="rId13"/>
  </sheets>
  <definedNames>
    <definedName name="_xlnm._FilterDatabase" localSheetId="1" hidden="1">'Data Shet'!$A$1:$N$138</definedName>
    <definedName name="Car_parking">'Data Form eliment'!$C$2:$C$3</definedName>
    <definedName name="Division">'Data Form eliment'!$F$4:$F$12</definedName>
    <definedName name="Divition">'Data Form eliment'!$A$2:$A$9</definedName>
    <definedName name="Peak__Time">'Data Form eliment'!$N$4:$N$10</definedName>
    <definedName name="Peak_Time">'Data Form eliment'!$N$4:$N$9</definedName>
    <definedName name="Types">'Data Form eliment'!$K$4:$K$12</definedName>
  </definedNames>
  <calcPr calcId="191029"/>
  <pivotCaches>
    <pivotCache cacheId="0" r:id="rId14"/>
    <pivotCache cacheId="1" r:id="rId1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0" i="25" l="1"/>
  <c r="F7" i="22" l="1"/>
  <c r="O7" i="13" l="1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85" i="13"/>
  <c r="O86" i="13"/>
  <c r="O87" i="13"/>
  <c r="O88" i="13"/>
  <c r="O89" i="13"/>
  <c r="O90" i="13"/>
  <c r="O91" i="13"/>
  <c r="O92" i="13"/>
  <c r="O93" i="13"/>
  <c r="O94" i="13"/>
  <c r="O95" i="13"/>
  <c r="O96" i="13"/>
  <c r="O97" i="13"/>
  <c r="O98" i="13"/>
  <c r="O99" i="13"/>
  <c r="O100" i="13"/>
  <c r="O101" i="13"/>
  <c r="O102" i="13"/>
  <c r="O103" i="13"/>
  <c r="O104" i="13"/>
  <c r="O105" i="13"/>
  <c r="O106" i="13"/>
  <c r="O107" i="13"/>
  <c r="O108" i="13"/>
  <c r="O109" i="13"/>
  <c r="O110" i="13"/>
  <c r="O111" i="13"/>
  <c r="O112" i="13"/>
  <c r="O113" i="13"/>
  <c r="O114" i="13"/>
  <c r="O115" i="13"/>
  <c r="O116" i="13"/>
  <c r="O117" i="13"/>
  <c r="O118" i="13"/>
  <c r="O119" i="13"/>
  <c r="O120" i="13"/>
  <c r="O121" i="13"/>
  <c r="O122" i="13"/>
  <c r="O123" i="13"/>
  <c r="O124" i="13"/>
  <c r="O125" i="13"/>
  <c r="O6" i="13"/>
</calcChain>
</file>

<file path=xl/sharedStrings.xml><?xml version="1.0" encoding="utf-8"?>
<sst xmlns="http://schemas.openxmlformats.org/spreadsheetml/2006/main" count="2262" uniqueCount="248">
  <si>
    <t>Location</t>
  </si>
  <si>
    <t>Ticket Price (Tk)</t>
  </si>
  <si>
    <t>Car Parking</t>
  </si>
  <si>
    <t>Accessible for Disabled</t>
  </si>
  <si>
    <t>Opening Time</t>
  </si>
  <si>
    <t>Closing Time</t>
  </si>
  <si>
    <t>Peak Time</t>
  </si>
  <si>
    <t>Type</t>
  </si>
  <si>
    <t>Monthly Avg. Visitors</t>
  </si>
  <si>
    <t>Divition</t>
  </si>
  <si>
    <t>Estabilishment</t>
  </si>
  <si>
    <t>Tourist Spots</t>
  </si>
  <si>
    <t>Barishal</t>
  </si>
  <si>
    <t>Khulna</t>
  </si>
  <si>
    <t>Rajshahi</t>
  </si>
  <si>
    <t>Rangpur</t>
  </si>
  <si>
    <t>Chattogram</t>
  </si>
  <si>
    <t>Sylhet</t>
  </si>
  <si>
    <t>Mymensingh</t>
  </si>
  <si>
    <t>Yes</t>
  </si>
  <si>
    <t>No</t>
  </si>
  <si>
    <t>Car_parking</t>
  </si>
  <si>
    <t>Madhabkunda Waterfall</t>
  </si>
  <si>
    <t>Kuakata Beach</t>
  </si>
  <si>
    <t>Sajek Valley</t>
  </si>
  <si>
    <t>Chittagong Hill Tracts (CHT)</t>
  </si>
  <si>
    <t>Division</t>
  </si>
  <si>
    <t>Religious and Historical Sites</t>
  </si>
  <si>
    <t>Historic Monuments and Structures</t>
  </si>
  <si>
    <t>Entertainment and Picnic Spots</t>
  </si>
  <si>
    <t>Types</t>
  </si>
  <si>
    <t>Waterfalls</t>
  </si>
  <si>
    <t>Cultural and Historical Sites</t>
  </si>
  <si>
    <t>Beaches and Islands</t>
  </si>
  <si>
    <t>Mangrove Forests</t>
  </si>
  <si>
    <t>Rainforests and Hills</t>
  </si>
  <si>
    <t>Lakes and Rivers</t>
  </si>
  <si>
    <t>Summer</t>
  </si>
  <si>
    <t>Monsoon</t>
  </si>
  <si>
    <t>Late Monsoon</t>
  </si>
  <si>
    <t>Autumn</t>
  </si>
  <si>
    <t>Winter</t>
  </si>
  <si>
    <t>Spring</t>
  </si>
  <si>
    <t>Dhaka</t>
  </si>
  <si>
    <t>Potuakhali</t>
  </si>
  <si>
    <t>Free</t>
  </si>
  <si>
    <t>Guthia Mosque</t>
  </si>
  <si>
    <t>Guava Market</t>
  </si>
  <si>
    <t>Jhalakati</t>
  </si>
  <si>
    <t>Market</t>
  </si>
  <si>
    <t>Durga Sagar</t>
  </si>
  <si>
    <t>Sher-e-Bangla’s Home</t>
  </si>
  <si>
    <t>Bell’s Park and Zoo</t>
  </si>
  <si>
    <t>Shankar Motth</t>
  </si>
  <si>
    <t>Bibir Pukur</t>
  </si>
  <si>
    <t>Monpura Island</t>
  </si>
  <si>
    <t>Bhola</t>
  </si>
  <si>
    <t>Pirojpur</t>
  </si>
  <si>
    <t>Tengragiri Ecopark</t>
  </si>
  <si>
    <t>Barguna</t>
  </si>
  <si>
    <t>Bibichini Shahi Mosque</t>
  </si>
  <si>
    <t>Haringhata Forest Eco Park</t>
  </si>
  <si>
    <t>Patharghata</t>
  </si>
  <si>
    <t>Shuvo Shondha Beach</t>
  </si>
  <si>
    <t>Nathpotty Lake</t>
  </si>
  <si>
    <t>Buddhist Temple at Taltoli</t>
  </si>
  <si>
    <t>Amtoli</t>
  </si>
  <si>
    <t>Kuakata Buddhist Temple</t>
  </si>
  <si>
    <t>Kuakata Eco Park</t>
  </si>
  <si>
    <t>Manpura Island</t>
  </si>
  <si>
    <t>Bir Shreshtha Mostafa Kamal Memorial Museum</t>
  </si>
  <si>
    <t>Jacob Tower</t>
  </si>
  <si>
    <t>Lalbagh Fort</t>
  </si>
  <si>
    <t>Star Mosque</t>
  </si>
  <si>
    <t>Ramna Park</t>
  </si>
  <si>
    <t>Baldha Gardens</t>
  </si>
  <si>
    <t>Bangabandhu Safari Park</t>
  </si>
  <si>
    <t>Gazipur</t>
  </si>
  <si>
    <t>Liberation War Museum</t>
  </si>
  <si>
    <t>Suhrawardy Udyan</t>
  </si>
  <si>
    <t>Bhawal National Park</t>
  </si>
  <si>
    <t>Nuhash Polli</t>
  </si>
  <si>
    <t>Bhawal Resort and Spa</t>
  </si>
  <si>
    <t>Bangladesh Folk Art &amp; Crafts Foundation</t>
  </si>
  <si>
    <t>Shoshi Lodge</t>
  </si>
  <si>
    <t>Ramgopalpur Zamindar House</t>
  </si>
  <si>
    <t>Mymensingh Museum</t>
  </si>
  <si>
    <t>Zainul Abedin Museum</t>
  </si>
  <si>
    <t>Bipin Park</t>
  </si>
  <si>
    <t>Varendra Research Museum</t>
  </si>
  <si>
    <t>Puthia Rajbari</t>
  </si>
  <si>
    <t>Bagha Mosque</t>
  </si>
  <si>
    <t>Nilgiri Tourist Center</t>
  </si>
  <si>
    <t>Bandarban</t>
  </si>
  <si>
    <t>Keokradong</t>
  </si>
  <si>
    <t>Boga Lake</t>
  </si>
  <si>
    <t>Nilachal</t>
  </si>
  <si>
    <t>Chimbuk Hill</t>
  </si>
  <si>
    <t>Meghla Parjatan Complex</t>
  </si>
  <si>
    <t>Debota Pahar</t>
  </si>
  <si>
    <t>Sailapropat Jharna</t>
  </si>
  <si>
    <t>Waterfall</t>
  </si>
  <si>
    <t>Nafa-khum Waterfall</t>
  </si>
  <si>
    <t>Buddha Dhatu Jadi</t>
  </si>
  <si>
    <t>Amiakhum Waterfall</t>
  </si>
  <si>
    <t>Rangamati</t>
  </si>
  <si>
    <t>Kaptai Lake</t>
  </si>
  <si>
    <t>Jhulonto Bridge</t>
  </si>
  <si>
    <t>Rajban Bihar</t>
  </si>
  <si>
    <t>Shuvalong Jhorna</t>
  </si>
  <si>
    <t>Hazachora Waterfalls</t>
  </si>
  <si>
    <t>Happy Island</t>
  </si>
  <si>
    <t>Polwel Park</t>
  </si>
  <si>
    <t>Birsrestha Munshi Abdur Rauf Monument</t>
  </si>
  <si>
    <t>Komlok Waterfalls</t>
  </si>
  <si>
    <t>Muppochora Jhorna</t>
  </si>
  <si>
    <t>Lake View Island</t>
  </si>
  <si>
    <t>Dhuppani Waterfall</t>
  </si>
  <si>
    <t>Alutila Cave</t>
  </si>
  <si>
    <t>Khagrachori</t>
  </si>
  <si>
    <t>Matai Pukhiri</t>
  </si>
  <si>
    <t>Horticulture Heritage Park</t>
  </si>
  <si>
    <t>Mung Rajbari</t>
  </si>
  <si>
    <t>Panchari Shantipur Aranya Kutir</t>
  </si>
  <si>
    <t>Hatimatha Pahar</t>
  </si>
  <si>
    <t>New Zealand Para</t>
  </si>
  <si>
    <t>Risang Jhorna</t>
  </si>
  <si>
    <t>Mayabini Lake</t>
  </si>
  <si>
    <t>TAIDUCHARA WATERFALL</t>
  </si>
  <si>
    <t>Peak Seasion</t>
  </si>
  <si>
    <t>Rajshahi University Campus</t>
  </si>
  <si>
    <t>holiday resourt</t>
  </si>
  <si>
    <t>Data Entry Form</t>
  </si>
  <si>
    <t>Horin pala Eco park</t>
  </si>
  <si>
    <t>yes</t>
  </si>
  <si>
    <t>National Parliment House</t>
  </si>
  <si>
    <t>N/A</t>
  </si>
  <si>
    <t>Central Shaheed minar</t>
  </si>
  <si>
    <t>Curzon Hall</t>
  </si>
  <si>
    <t>National Martyrs’ Memorial</t>
  </si>
  <si>
    <t>Bangabandhu Memorial Museum</t>
  </si>
  <si>
    <t>Baitul Mukarram National Mosque</t>
  </si>
  <si>
    <t>Ahsan Manzil</t>
  </si>
  <si>
    <t>Dhakeshwari National Temple</t>
  </si>
  <si>
    <t>Sadarghat</t>
  </si>
  <si>
    <t>Armenian Church</t>
  </si>
  <si>
    <t>Sonargaon, Panam City</t>
  </si>
  <si>
    <t>Narayongong</t>
  </si>
  <si>
    <t>kurmitola golf club</t>
  </si>
  <si>
    <t>All Seasion</t>
  </si>
  <si>
    <t>National Zoo</t>
  </si>
  <si>
    <t>National Botanical Garden</t>
  </si>
  <si>
    <t>summer</t>
  </si>
  <si>
    <t>The Holy Shrine of Hazrat Shahjalal (R)</t>
  </si>
  <si>
    <t>Ratargul Swamp Forest</t>
  </si>
  <si>
    <t>Jaflong</t>
  </si>
  <si>
    <t>Tanguar Haor</t>
  </si>
  <si>
    <t>Lawachara Rain Forest</t>
  </si>
  <si>
    <t>Sreemangal</t>
  </si>
  <si>
    <t>Bichanakandi</t>
  </si>
  <si>
    <t>The Holy Shrine of Hazrat Shaporan (R)</t>
  </si>
  <si>
    <t>Tea Garden</t>
  </si>
  <si>
    <t>Srimangal</t>
  </si>
  <si>
    <t>spring</t>
  </si>
  <si>
    <t>Royerkathi Jomidar Bari</t>
  </si>
  <si>
    <t>Saint Martin’s Island</t>
  </si>
  <si>
    <t>Inani Beach</t>
  </si>
  <si>
    <t>Cox's Bazar</t>
  </si>
  <si>
    <t>Chattogram War Cemetery</t>
  </si>
  <si>
    <t>Comillar Jogonnath Mondir</t>
  </si>
  <si>
    <t>Comilla</t>
  </si>
  <si>
    <t>Foy’s Lake Concord Amusement World</t>
  </si>
  <si>
    <t>all seasion</t>
  </si>
  <si>
    <t>Uttara Ganabhaban</t>
  </si>
  <si>
    <t>Mahasthangarh</t>
  </si>
  <si>
    <t>Paharpur Buddhist Monastery</t>
  </si>
  <si>
    <t>Kusumba Mosque</t>
  </si>
  <si>
    <t>Choto Sona Mosque</t>
  </si>
  <si>
    <t>Bogra</t>
  </si>
  <si>
    <t>Naogaon</t>
  </si>
  <si>
    <t>Chapai Nawabganj</t>
  </si>
  <si>
    <t>All Season</t>
  </si>
  <si>
    <t>Kantajew Temple</t>
  </si>
  <si>
    <t>Teknaf</t>
  </si>
  <si>
    <t>Dinajpur</t>
  </si>
  <si>
    <t>Jolsiri central Park</t>
  </si>
  <si>
    <t>Moulvibazar</t>
  </si>
  <si>
    <t>Shalban bihar</t>
  </si>
  <si>
    <t>Cox's Bazar Marin drive</t>
  </si>
  <si>
    <t>Rupsa Bridge</t>
  </si>
  <si>
    <t>Rabindro kuti bari</t>
  </si>
  <si>
    <t>Kustia</t>
  </si>
  <si>
    <t>Kpotakkho Nod</t>
  </si>
  <si>
    <t>josor</t>
  </si>
  <si>
    <t>Shaheed A.H.M. Kamaruzzaman Central Par</t>
  </si>
  <si>
    <t>Dev Cost yearly (Tk)</t>
  </si>
  <si>
    <t>Barguna Biskhali Rever</t>
  </si>
  <si>
    <t>Gov Revenue yearly (Tk)</t>
  </si>
  <si>
    <t>Century</t>
  </si>
  <si>
    <t xml:space="preserve">. </t>
  </si>
  <si>
    <t>Row Labels</t>
  </si>
  <si>
    <t>Grand Total</t>
  </si>
  <si>
    <t>Sum of Gov Revenue yearly (Tk)</t>
  </si>
  <si>
    <t>Average of Ticket Price (Tk)</t>
  </si>
  <si>
    <t>Sum of Monthly Avg. Visitors</t>
  </si>
  <si>
    <t>Average of Gov Revenue yearly (Tk)</t>
  </si>
  <si>
    <t>Count of Accessible for Disabled</t>
  </si>
  <si>
    <t>Sum of Dev Cost yearly (Tk)</t>
  </si>
  <si>
    <t>Average of Monthly Avg. Visitors</t>
  </si>
  <si>
    <t>Count of Car Parking</t>
  </si>
  <si>
    <t>Answer Question 1</t>
  </si>
  <si>
    <t>Answer Question 2</t>
  </si>
  <si>
    <t>Answer Question 3</t>
  </si>
  <si>
    <t>Answer Question 4</t>
  </si>
  <si>
    <t>Answer Question 5</t>
  </si>
  <si>
    <t>Answer Question 6</t>
  </si>
  <si>
    <t>Answer Question 7</t>
  </si>
  <si>
    <t>1.What is the total government revenue generated by each tourist attraction?</t>
  </si>
  <si>
    <t>2.What is the average ticket price for tourist attractions in each division?</t>
  </si>
  <si>
    <t>3.What is the total number of monthly visitors to each tourist attraction based on their location?</t>
  </si>
  <si>
    <t>4.How many tourist attractions are accessible to the disabled in each division?</t>
  </si>
  <si>
    <t>5.How does the development cost of tourist attractions compare to the government revenue generated from them?</t>
  </si>
  <si>
    <t xml:space="preserve">6. Does the peak time of a tourist attraction correlate with the average number of visitors per month? </t>
  </si>
  <si>
    <t>8. Is there a correlation between the development cost of tourist attractions and their ticket price?</t>
  </si>
  <si>
    <t>7.How many tourist attractions in each division offer car parking facilities?</t>
  </si>
  <si>
    <t>9. Modified the data sheet added a new column "Century" and showed which century's tourist spots are the most popular</t>
  </si>
  <si>
    <t>Answer Question 9</t>
  </si>
  <si>
    <t>The "0" century means those tourist spots were created naturally, not by any ruler or organization.</t>
  </si>
  <si>
    <t>N.B.</t>
  </si>
  <si>
    <t>The sights built in the 14th century are very popular among tourists. We can understand this by looking at this pie chart.</t>
  </si>
  <si>
    <t>Comment:</t>
  </si>
  <si>
    <t>The most popular season is Winter because it has the highest average number of visitors (83,074.07).</t>
  </si>
  <si>
    <t>Sum of Ticket Price (Tk)</t>
  </si>
  <si>
    <t>Correlation Value</t>
  </si>
  <si>
    <t>The correlation value of 0.04379 indicates an extremely weak or negligible linear relationship between development cost and ticket price. This suggests that the development cost of a tourist attraction does not have a significant direct influence on its ticket price.</t>
  </si>
  <si>
    <t>Comment</t>
  </si>
  <si>
    <t>Correlation between Dev. Cost and Ticket Price</t>
  </si>
  <si>
    <t>(Revenue/Cost) Ratio</t>
  </si>
  <si>
    <t>(A ratio greater than 1 means revenue exceeds cost; less than 1 means revenue is lower than cost.)</t>
  </si>
  <si>
    <t>Correlation between Dev. Cost and Govt. Revenue</t>
  </si>
  <si>
    <t>Correlation</t>
  </si>
  <si>
    <r>
      <t>Close to 0</t>
    </r>
    <r>
      <rPr>
        <sz val="9"/>
        <color theme="1"/>
        <rFont val="Times New Roman"/>
        <family val="2"/>
      </rPr>
      <t xml:space="preserve"> → No clear relationship.</t>
    </r>
  </si>
  <si>
    <r>
      <t>Close to -1</t>
    </r>
    <r>
      <rPr>
        <sz val="9"/>
        <color theme="1"/>
        <rFont val="Times New Roman"/>
        <family val="2"/>
      </rPr>
      <t xml:space="preserve"> → Higher costs result in lower revenue (negative relationship).</t>
    </r>
  </si>
  <si>
    <r>
      <t>Close to 1</t>
    </r>
    <r>
      <rPr>
        <sz val="9"/>
        <color theme="1"/>
        <rFont val="Times New Roman"/>
        <family val="2"/>
      </rPr>
      <t xml:space="preserve"> → Strong positive correlation (higher costs lead to higher revenue).</t>
    </r>
  </si>
  <si>
    <t>The investment in tourist attractions is profitable because revenue is exceeding costs.</t>
  </si>
  <si>
    <t>The strong correlation suggests that continued investment in tourism infrastructure may further increase government revenue.</t>
  </si>
  <si>
    <t>However, it’s important to consider other factors (e.g., maintenance costs, marketing, location, seasonal variations) to ensure sustained profitability.</t>
  </si>
  <si>
    <t>Final Interpretation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</si>
</sst>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0.0000"/>
  </numFmts>
  <fonts count="9" x14ac:knownFonts="1">
    <font>
      <sz val="9"/>
      <color theme="1"/>
      <name val="Times New Roman"/>
      <family val="2"/>
    </font>
    <font>
      <sz val="10"/>
      <color theme="1"/>
      <name val="NikoshBAN"/>
    </font>
    <font>
      <sz val="9"/>
      <color theme="1"/>
      <name val="Nikosh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sz val="48"/>
      <color theme="1"/>
      <name val="Times New Roman"/>
      <family val="1"/>
    </font>
    <font>
      <sz val="20"/>
      <color theme="1"/>
      <name val="Times New Roman"/>
      <family val="1"/>
    </font>
    <font>
      <sz val="14"/>
      <color theme="1"/>
      <name val="Times New Roman"/>
      <family val="2"/>
    </font>
    <font>
      <b/>
      <sz val="9"/>
      <color theme="1"/>
      <name val="Times New Roman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0" fontId="2" fillId="0" borderId="0" xfId="0" applyFont="1"/>
    <xf numFmtId="18" fontId="0" fillId="0" borderId="0" xfId="0" applyNumberFormat="1"/>
    <xf numFmtId="3" fontId="0" fillId="0" borderId="0" xfId="0" applyNumberFormat="1"/>
    <xf numFmtId="0" fontId="3" fillId="0" borderId="0" xfId="0" applyFont="1"/>
    <xf numFmtId="0" fontId="4" fillId="0" borderId="0" xfId="0" applyFont="1"/>
    <xf numFmtId="164" fontId="0" fillId="0" borderId="0" xfId="0" applyNumberFormat="1" applyAlignment="1">
      <alignment horizontal="right"/>
    </xf>
    <xf numFmtId="164" fontId="3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right"/>
    </xf>
    <xf numFmtId="1" fontId="4" fillId="0" borderId="0" xfId="0" applyNumberFormat="1" applyFont="1" applyAlignment="1">
      <alignment horizontal="right"/>
    </xf>
    <xf numFmtId="0" fontId="4" fillId="0" borderId="0" xfId="0" applyFont="1" applyAlignment="1">
      <alignment horizontal="right"/>
    </xf>
    <xf numFmtId="0" fontId="3" fillId="3" borderId="0" xfId="0" applyFont="1" applyFill="1"/>
    <xf numFmtId="0" fontId="3" fillId="3" borderId="0" xfId="0" applyFont="1" applyFill="1" applyAlignment="1">
      <alignment horizontal="left"/>
    </xf>
    <xf numFmtId="164" fontId="3" fillId="3" borderId="0" xfId="0" applyNumberFormat="1" applyFont="1" applyFill="1" applyAlignment="1">
      <alignment horizontal="left"/>
    </xf>
    <xf numFmtId="0" fontId="0" fillId="3" borderId="0" xfId="0" applyFill="1"/>
    <xf numFmtId="3" fontId="3" fillId="3" borderId="0" xfId="0" applyNumberFormat="1" applyFont="1" applyFill="1" applyAlignment="1">
      <alignment horizontal="left"/>
    </xf>
    <xf numFmtId="3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left"/>
    </xf>
    <xf numFmtId="1" fontId="0" fillId="0" borderId="0" xfId="0" applyNumberFormat="1" applyAlignment="1">
      <alignment horizontal="right"/>
    </xf>
    <xf numFmtId="1" fontId="3" fillId="0" borderId="0" xfId="0" applyNumberFormat="1" applyFont="1" applyAlignment="1">
      <alignment horizontal="right"/>
    </xf>
    <xf numFmtId="0" fontId="6" fillId="0" borderId="0" xfId="0" applyFon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 indent="1"/>
    </xf>
    <xf numFmtId="164" fontId="0" fillId="0" borderId="0" xfId="0" applyNumberFormat="1"/>
    <xf numFmtId="0" fontId="0" fillId="0" borderId="0" xfId="0" applyNumberFormat="1" applyAlignment="1">
      <alignment horizontal="right"/>
    </xf>
    <xf numFmtId="0" fontId="3" fillId="0" borderId="0" xfId="0" applyNumberFormat="1" applyFont="1" applyAlignment="1">
      <alignment horizontal="right"/>
    </xf>
    <xf numFmtId="0" fontId="0" fillId="2" borderId="0" xfId="0" applyFill="1"/>
    <xf numFmtId="0" fontId="0" fillId="3" borderId="0" xfId="0" applyFill="1" applyAlignment="1"/>
    <xf numFmtId="0" fontId="3" fillId="5" borderId="0" xfId="0" applyFont="1" applyFill="1"/>
    <xf numFmtId="1" fontId="3" fillId="5" borderId="0" xfId="0" applyNumberFormat="1" applyFont="1" applyFill="1" applyAlignment="1">
      <alignment horizontal="left"/>
    </xf>
    <xf numFmtId="0" fontId="3" fillId="5" borderId="0" xfId="0" applyFont="1" applyFill="1" applyAlignment="1">
      <alignment horizontal="left"/>
    </xf>
    <xf numFmtId="164" fontId="3" fillId="5" borderId="0" xfId="0" applyNumberFormat="1" applyFont="1" applyFill="1" applyAlignment="1">
      <alignment horizontal="left"/>
    </xf>
    <xf numFmtId="3" fontId="3" fillId="5" borderId="0" xfId="0" applyNumberFormat="1" applyFont="1" applyFill="1" applyAlignment="1">
      <alignment horizontal="left"/>
    </xf>
    <xf numFmtId="0" fontId="3" fillId="5" borderId="0" xfId="0" applyNumberFormat="1" applyFont="1" applyFill="1" applyAlignment="1">
      <alignment horizontal="left"/>
    </xf>
    <xf numFmtId="0" fontId="0" fillId="4" borderId="0" xfId="0" applyFill="1"/>
    <xf numFmtId="0" fontId="7" fillId="4" borderId="0" xfId="0" applyFont="1" applyFill="1"/>
    <xf numFmtId="165" fontId="7" fillId="0" borderId="0" xfId="0" applyNumberFormat="1" applyFont="1"/>
    <xf numFmtId="0" fontId="0" fillId="7" borderId="0" xfId="0" applyFill="1"/>
    <xf numFmtId="0" fontId="0" fillId="0" borderId="0" xfId="0" applyAlignment="1">
      <alignment horizontal="left" vertical="center" indent="1"/>
    </xf>
    <xf numFmtId="0" fontId="5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horizontal="left" vertical="center"/>
    </xf>
    <xf numFmtId="0" fontId="7" fillId="4" borderId="0" xfId="0" applyFont="1" applyFill="1" applyAlignment="1">
      <alignment horizontal="center"/>
    </xf>
    <xf numFmtId="0" fontId="0" fillId="6" borderId="0" xfId="0" applyFill="1" applyAlignment="1">
      <alignment horizontal="center" vertical="top" wrapText="1"/>
    </xf>
    <xf numFmtId="0" fontId="0" fillId="8" borderId="0" xfId="0" applyFill="1" applyAlignment="1">
      <alignment horizontal="center"/>
    </xf>
    <xf numFmtId="164" fontId="7" fillId="4" borderId="0" xfId="0" applyNumberFormat="1" applyFont="1" applyFill="1" applyAlignment="1">
      <alignment horizontal="center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[Tourist Spots data Bangladesh.xlsm]Ans. Q1!PivotTable1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'Ans. Q1'!$B$5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'Ans. Q1'!$A$6:$A$125</c:f>
              <c:strCache>
                <c:ptCount val="119"/>
                <c:pt idx="0">
                  <c:v>Ahsan Manzil</c:v>
                </c:pt>
                <c:pt idx="1">
                  <c:v>Alutila Cave</c:v>
                </c:pt>
                <c:pt idx="2">
                  <c:v>Amiakhum Waterfall</c:v>
                </c:pt>
                <c:pt idx="3">
                  <c:v>Armenian Church</c:v>
                </c:pt>
                <c:pt idx="4">
                  <c:v>Bagha Mosque</c:v>
                </c:pt>
                <c:pt idx="5">
                  <c:v>Baitul Mukarram National Mosque</c:v>
                </c:pt>
                <c:pt idx="6">
                  <c:v>Baldha Gardens</c:v>
                </c:pt>
                <c:pt idx="7">
                  <c:v>Bangabandhu Memorial Museum</c:v>
                </c:pt>
                <c:pt idx="8">
                  <c:v>Bangabandhu Safari Park</c:v>
                </c:pt>
                <c:pt idx="9">
                  <c:v>Bangladesh Folk Art &amp; Crafts Foundation</c:v>
                </c:pt>
                <c:pt idx="10">
                  <c:v>Barguna Biskhali Rever</c:v>
                </c:pt>
                <c:pt idx="11">
                  <c:v>Bell’s Park and Zoo</c:v>
                </c:pt>
                <c:pt idx="12">
                  <c:v>Bhawal National Park</c:v>
                </c:pt>
                <c:pt idx="13">
                  <c:v>Bhawal Resort and Spa</c:v>
                </c:pt>
                <c:pt idx="14">
                  <c:v>Bibichini Shahi Mosque</c:v>
                </c:pt>
                <c:pt idx="15">
                  <c:v>Bibir Pukur</c:v>
                </c:pt>
                <c:pt idx="16">
                  <c:v>Bichanakandi</c:v>
                </c:pt>
                <c:pt idx="17">
                  <c:v>Bipin Park</c:v>
                </c:pt>
                <c:pt idx="18">
                  <c:v>Bir Shreshtha Mostafa Kamal Memorial Museum</c:v>
                </c:pt>
                <c:pt idx="19">
                  <c:v>Birsrestha Munshi Abdur Rauf Monument</c:v>
                </c:pt>
                <c:pt idx="20">
                  <c:v>Boga Lake</c:v>
                </c:pt>
                <c:pt idx="21">
                  <c:v>Buddha Dhatu Jadi</c:v>
                </c:pt>
                <c:pt idx="22">
                  <c:v>Buddhist Temple at Taltoli</c:v>
                </c:pt>
                <c:pt idx="23">
                  <c:v>Central Shaheed minar</c:v>
                </c:pt>
                <c:pt idx="24">
                  <c:v>Chattogram War Cemetery</c:v>
                </c:pt>
                <c:pt idx="25">
                  <c:v>Chimbuk Hill</c:v>
                </c:pt>
                <c:pt idx="26">
                  <c:v>Choto Sona Mosque</c:v>
                </c:pt>
                <c:pt idx="27">
                  <c:v>Comillar Jogonnath Mondir</c:v>
                </c:pt>
                <c:pt idx="28">
                  <c:v>Cox's Bazar Marin drive</c:v>
                </c:pt>
                <c:pt idx="29">
                  <c:v>Curzon Hall</c:v>
                </c:pt>
                <c:pt idx="30">
                  <c:v>Debota Pahar</c:v>
                </c:pt>
                <c:pt idx="31">
                  <c:v>Dhakeshwari National Temple</c:v>
                </c:pt>
                <c:pt idx="32">
                  <c:v>Dhuppani Waterfall</c:v>
                </c:pt>
                <c:pt idx="33">
                  <c:v>Durga Sagar</c:v>
                </c:pt>
                <c:pt idx="34">
                  <c:v>Foy’s Lake Concord Amusement World</c:v>
                </c:pt>
                <c:pt idx="35">
                  <c:v>Guava Market</c:v>
                </c:pt>
                <c:pt idx="36">
                  <c:v>Guthia Mosque</c:v>
                </c:pt>
                <c:pt idx="37">
                  <c:v>Happy Island</c:v>
                </c:pt>
                <c:pt idx="38">
                  <c:v>Haringhata Forest Eco Park</c:v>
                </c:pt>
                <c:pt idx="39">
                  <c:v>Hatimatha Pahar</c:v>
                </c:pt>
                <c:pt idx="40">
                  <c:v>Hazachora Waterfalls</c:v>
                </c:pt>
                <c:pt idx="41">
                  <c:v>holiday resourt</c:v>
                </c:pt>
                <c:pt idx="42">
                  <c:v>Horin pala Eco park</c:v>
                </c:pt>
                <c:pt idx="43">
                  <c:v>Horticulture Heritage Park</c:v>
                </c:pt>
                <c:pt idx="44">
                  <c:v>Inani Beach</c:v>
                </c:pt>
                <c:pt idx="45">
                  <c:v>Jacob Tower</c:v>
                </c:pt>
                <c:pt idx="46">
                  <c:v>Jaflong</c:v>
                </c:pt>
                <c:pt idx="47">
                  <c:v>Jhulonto Bridge</c:v>
                </c:pt>
                <c:pt idx="48">
                  <c:v>Jolsiri central Park</c:v>
                </c:pt>
                <c:pt idx="49">
                  <c:v>Kantajew Temple</c:v>
                </c:pt>
                <c:pt idx="50">
                  <c:v>Kaptai Lake</c:v>
                </c:pt>
                <c:pt idx="51">
                  <c:v>Keokradong</c:v>
                </c:pt>
                <c:pt idx="52">
                  <c:v>Komlok Waterfalls</c:v>
                </c:pt>
                <c:pt idx="53">
                  <c:v>Kpotakkho Nod</c:v>
                </c:pt>
                <c:pt idx="54">
                  <c:v>Kuakata Beach</c:v>
                </c:pt>
                <c:pt idx="55">
                  <c:v>Kuakata Buddhist Temple</c:v>
                </c:pt>
                <c:pt idx="56">
                  <c:v>Kuakata Eco Park</c:v>
                </c:pt>
                <c:pt idx="57">
                  <c:v>kurmitola golf club</c:v>
                </c:pt>
                <c:pt idx="58">
                  <c:v>Kusumba Mosque</c:v>
                </c:pt>
                <c:pt idx="59">
                  <c:v>Lake View Island</c:v>
                </c:pt>
                <c:pt idx="60">
                  <c:v>Lalbagh Fort</c:v>
                </c:pt>
                <c:pt idx="61">
                  <c:v>Lawachara Rain Forest</c:v>
                </c:pt>
                <c:pt idx="62">
                  <c:v>Liberation War Museum</c:v>
                </c:pt>
                <c:pt idx="63">
                  <c:v>Madhabkunda Waterfall</c:v>
                </c:pt>
                <c:pt idx="64">
                  <c:v>Mahasthangarh</c:v>
                </c:pt>
                <c:pt idx="65">
                  <c:v>Manpura Island</c:v>
                </c:pt>
                <c:pt idx="66">
                  <c:v>Matai Pukhiri</c:v>
                </c:pt>
                <c:pt idx="67">
                  <c:v>Mayabini Lake</c:v>
                </c:pt>
                <c:pt idx="68">
                  <c:v>Meghla Parjatan Complex</c:v>
                </c:pt>
                <c:pt idx="69">
                  <c:v>Monpura Island</c:v>
                </c:pt>
                <c:pt idx="70">
                  <c:v>Mung Rajbari</c:v>
                </c:pt>
                <c:pt idx="71">
                  <c:v>Muppochora Jhorna</c:v>
                </c:pt>
                <c:pt idx="72">
                  <c:v>Mymensingh Museum</c:v>
                </c:pt>
                <c:pt idx="73">
                  <c:v>Nafa-khum Waterfall</c:v>
                </c:pt>
                <c:pt idx="74">
                  <c:v>Nathpotty Lake</c:v>
                </c:pt>
                <c:pt idx="75">
                  <c:v>National Botanical Garden</c:v>
                </c:pt>
                <c:pt idx="76">
                  <c:v>National Martyrs’ Memorial</c:v>
                </c:pt>
                <c:pt idx="77">
                  <c:v>National Parliment House</c:v>
                </c:pt>
                <c:pt idx="78">
                  <c:v>National Zoo</c:v>
                </c:pt>
                <c:pt idx="79">
                  <c:v>New Zealand Para</c:v>
                </c:pt>
                <c:pt idx="80">
                  <c:v>Nilachal</c:v>
                </c:pt>
                <c:pt idx="81">
                  <c:v>Nilgiri Tourist Center</c:v>
                </c:pt>
                <c:pt idx="82">
                  <c:v>Nuhash Polli</c:v>
                </c:pt>
                <c:pt idx="83">
                  <c:v>Paharpur Buddhist Monastery</c:v>
                </c:pt>
                <c:pt idx="84">
                  <c:v>Panchari Shantipur Aranya Kutir</c:v>
                </c:pt>
                <c:pt idx="85">
                  <c:v>Polwel Park</c:v>
                </c:pt>
                <c:pt idx="86">
                  <c:v>Puthia Rajbari</c:v>
                </c:pt>
                <c:pt idx="87">
                  <c:v>Rabindro kuti bari</c:v>
                </c:pt>
                <c:pt idx="88">
                  <c:v>Rajban Bihar</c:v>
                </c:pt>
                <c:pt idx="89">
                  <c:v>Rajshahi University Campus</c:v>
                </c:pt>
                <c:pt idx="90">
                  <c:v>Ramgopalpur Zamindar House</c:v>
                </c:pt>
                <c:pt idx="91">
                  <c:v>Ramna Park</c:v>
                </c:pt>
                <c:pt idx="92">
                  <c:v>Ratargul Swamp Forest</c:v>
                </c:pt>
                <c:pt idx="93">
                  <c:v>Risang Jhorna</c:v>
                </c:pt>
                <c:pt idx="94">
                  <c:v>Royerkathi Jomidar Bari</c:v>
                </c:pt>
                <c:pt idx="95">
                  <c:v>Rupsa Bridge</c:v>
                </c:pt>
                <c:pt idx="96">
                  <c:v>Sadarghat</c:v>
                </c:pt>
                <c:pt idx="97">
                  <c:v>Sailapropat Jharna</c:v>
                </c:pt>
                <c:pt idx="98">
                  <c:v>Saint Martin’s Island</c:v>
                </c:pt>
                <c:pt idx="99">
                  <c:v>Sajek Valley</c:v>
                </c:pt>
                <c:pt idx="100">
                  <c:v>Shaheed A.H.M. Kamaruzzaman Central Par</c:v>
                </c:pt>
                <c:pt idx="101">
                  <c:v>Shalban bihar</c:v>
                </c:pt>
                <c:pt idx="102">
                  <c:v>Shankar Motth</c:v>
                </c:pt>
                <c:pt idx="103">
                  <c:v>Sher-e-Bangla’s Home</c:v>
                </c:pt>
                <c:pt idx="104">
                  <c:v>Shoshi Lodge</c:v>
                </c:pt>
                <c:pt idx="105">
                  <c:v>Shuvalong Jhorna</c:v>
                </c:pt>
                <c:pt idx="106">
                  <c:v>Shuvo Shondha Beach</c:v>
                </c:pt>
                <c:pt idx="107">
                  <c:v>Sonargaon, Panam City</c:v>
                </c:pt>
                <c:pt idx="108">
                  <c:v>Star Mosque</c:v>
                </c:pt>
                <c:pt idx="109">
                  <c:v>Suhrawardy Udyan</c:v>
                </c:pt>
                <c:pt idx="110">
                  <c:v>TAIDUCHARA WATERFALL</c:v>
                </c:pt>
                <c:pt idx="111">
                  <c:v>Tanguar Haor</c:v>
                </c:pt>
                <c:pt idx="112">
                  <c:v>Tea Garden</c:v>
                </c:pt>
                <c:pt idx="113">
                  <c:v>Tengragiri Ecopark</c:v>
                </c:pt>
                <c:pt idx="114">
                  <c:v>The Holy Shrine of Hazrat Shahjalal (R)</c:v>
                </c:pt>
                <c:pt idx="115">
                  <c:v>The Holy Shrine of Hazrat Shaporan (R)</c:v>
                </c:pt>
                <c:pt idx="116">
                  <c:v>Uttara Ganabhaban</c:v>
                </c:pt>
                <c:pt idx="117">
                  <c:v>Varendra Research Museum</c:v>
                </c:pt>
                <c:pt idx="118">
                  <c:v>Zainul Abedin Museum</c:v>
                </c:pt>
              </c:strCache>
            </c:strRef>
          </c:cat>
          <c:val>
            <c:numRef>
              <c:f>'Ans. Q1'!$B$6:$B$125</c:f>
              <c:numCache>
                <c:formatCode>General</c:formatCode>
                <c:ptCount val="119"/>
                <c:pt idx="0">
                  <c:v>10000000</c:v>
                </c:pt>
                <c:pt idx="1">
                  <c:v>5000000</c:v>
                </c:pt>
                <c:pt idx="2">
                  <c:v>3500000</c:v>
                </c:pt>
                <c:pt idx="3">
                  <c:v>2000000</c:v>
                </c:pt>
                <c:pt idx="4">
                  <c:v>3000000</c:v>
                </c:pt>
                <c:pt idx="5">
                  <c:v>5000000</c:v>
                </c:pt>
                <c:pt idx="6">
                  <c:v>2000000</c:v>
                </c:pt>
                <c:pt idx="7">
                  <c:v>10000000</c:v>
                </c:pt>
                <c:pt idx="8">
                  <c:v>2000000</c:v>
                </c:pt>
                <c:pt idx="9">
                  <c:v>20000000</c:v>
                </c:pt>
                <c:pt idx="10">
                  <c:v>2000000</c:v>
                </c:pt>
                <c:pt idx="11">
                  <c:v>20000000</c:v>
                </c:pt>
                <c:pt idx="12">
                  <c:v>8000000</c:v>
                </c:pt>
                <c:pt idx="13">
                  <c:v>5000000</c:v>
                </c:pt>
                <c:pt idx="14">
                  <c:v>2000000</c:v>
                </c:pt>
                <c:pt idx="15">
                  <c:v>10000000</c:v>
                </c:pt>
                <c:pt idx="16">
                  <c:v>3500000</c:v>
                </c:pt>
                <c:pt idx="17">
                  <c:v>2000000</c:v>
                </c:pt>
                <c:pt idx="18">
                  <c:v>5000000</c:v>
                </c:pt>
                <c:pt idx="19">
                  <c:v>3500000</c:v>
                </c:pt>
                <c:pt idx="20">
                  <c:v>20000000</c:v>
                </c:pt>
                <c:pt idx="21">
                  <c:v>5000000</c:v>
                </c:pt>
                <c:pt idx="22">
                  <c:v>3500000</c:v>
                </c:pt>
                <c:pt idx="23">
                  <c:v>20000000</c:v>
                </c:pt>
                <c:pt idx="24">
                  <c:v>50000000</c:v>
                </c:pt>
                <c:pt idx="25">
                  <c:v>3500000</c:v>
                </c:pt>
                <c:pt idx="26">
                  <c:v>3500000</c:v>
                </c:pt>
                <c:pt idx="27">
                  <c:v>4000000</c:v>
                </c:pt>
                <c:pt idx="28">
                  <c:v>50000000</c:v>
                </c:pt>
                <c:pt idx="29">
                  <c:v>50000000</c:v>
                </c:pt>
                <c:pt idx="30">
                  <c:v>4000000</c:v>
                </c:pt>
                <c:pt idx="31">
                  <c:v>10000000</c:v>
                </c:pt>
                <c:pt idx="32">
                  <c:v>2000000</c:v>
                </c:pt>
                <c:pt idx="33">
                  <c:v>1000000</c:v>
                </c:pt>
                <c:pt idx="34">
                  <c:v>5000000</c:v>
                </c:pt>
                <c:pt idx="35">
                  <c:v>3000000</c:v>
                </c:pt>
                <c:pt idx="36">
                  <c:v>2000000</c:v>
                </c:pt>
                <c:pt idx="37">
                  <c:v>3500000</c:v>
                </c:pt>
                <c:pt idx="38">
                  <c:v>14000000</c:v>
                </c:pt>
                <c:pt idx="39">
                  <c:v>5000000</c:v>
                </c:pt>
                <c:pt idx="40">
                  <c:v>3500000</c:v>
                </c:pt>
                <c:pt idx="41">
                  <c:v>5000000</c:v>
                </c:pt>
                <c:pt idx="42">
                  <c:v>5000000</c:v>
                </c:pt>
                <c:pt idx="43">
                  <c:v>2000000</c:v>
                </c:pt>
                <c:pt idx="44">
                  <c:v>8000000</c:v>
                </c:pt>
                <c:pt idx="45">
                  <c:v>5000000</c:v>
                </c:pt>
                <c:pt idx="46">
                  <c:v>5000000</c:v>
                </c:pt>
                <c:pt idx="47">
                  <c:v>3000000</c:v>
                </c:pt>
                <c:pt idx="48">
                  <c:v>5000000</c:v>
                </c:pt>
                <c:pt idx="49">
                  <c:v>10000000</c:v>
                </c:pt>
                <c:pt idx="50">
                  <c:v>4000000</c:v>
                </c:pt>
                <c:pt idx="51">
                  <c:v>2000000</c:v>
                </c:pt>
                <c:pt idx="52">
                  <c:v>5000000</c:v>
                </c:pt>
                <c:pt idx="53">
                  <c:v>3500000</c:v>
                </c:pt>
                <c:pt idx="54">
                  <c:v>100000000</c:v>
                </c:pt>
                <c:pt idx="55">
                  <c:v>100000</c:v>
                </c:pt>
                <c:pt idx="56">
                  <c:v>10000000</c:v>
                </c:pt>
                <c:pt idx="57">
                  <c:v>30000000</c:v>
                </c:pt>
                <c:pt idx="58">
                  <c:v>4000000</c:v>
                </c:pt>
                <c:pt idx="59">
                  <c:v>2000000</c:v>
                </c:pt>
                <c:pt idx="60">
                  <c:v>5000000</c:v>
                </c:pt>
                <c:pt idx="61">
                  <c:v>10000000</c:v>
                </c:pt>
                <c:pt idx="62">
                  <c:v>10000000</c:v>
                </c:pt>
                <c:pt idx="63">
                  <c:v>20000000</c:v>
                </c:pt>
                <c:pt idx="64">
                  <c:v>2000000</c:v>
                </c:pt>
                <c:pt idx="65">
                  <c:v>5000000</c:v>
                </c:pt>
                <c:pt idx="66">
                  <c:v>5000000</c:v>
                </c:pt>
                <c:pt idx="67">
                  <c:v>5000000</c:v>
                </c:pt>
                <c:pt idx="68">
                  <c:v>3500000</c:v>
                </c:pt>
                <c:pt idx="69">
                  <c:v>5000000</c:v>
                </c:pt>
                <c:pt idx="70">
                  <c:v>5000000</c:v>
                </c:pt>
                <c:pt idx="71">
                  <c:v>2000000</c:v>
                </c:pt>
                <c:pt idx="72">
                  <c:v>4000000</c:v>
                </c:pt>
                <c:pt idx="73">
                  <c:v>4000000</c:v>
                </c:pt>
                <c:pt idx="74">
                  <c:v>3500000</c:v>
                </c:pt>
                <c:pt idx="75">
                  <c:v>50000000</c:v>
                </c:pt>
                <c:pt idx="76">
                  <c:v>10000000</c:v>
                </c:pt>
                <c:pt idx="77">
                  <c:v>10000000</c:v>
                </c:pt>
                <c:pt idx="78">
                  <c:v>50000000</c:v>
                </c:pt>
                <c:pt idx="79">
                  <c:v>3000000</c:v>
                </c:pt>
                <c:pt idx="80">
                  <c:v>5000000</c:v>
                </c:pt>
                <c:pt idx="81">
                  <c:v>2000000</c:v>
                </c:pt>
                <c:pt idx="82">
                  <c:v>1000000</c:v>
                </c:pt>
                <c:pt idx="83">
                  <c:v>5000000</c:v>
                </c:pt>
                <c:pt idx="84">
                  <c:v>5000000</c:v>
                </c:pt>
                <c:pt idx="85">
                  <c:v>5000000</c:v>
                </c:pt>
                <c:pt idx="86">
                  <c:v>10000000</c:v>
                </c:pt>
                <c:pt idx="87">
                  <c:v>2000000</c:v>
                </c:pt>
                <c:pt idx="88">
                  <c:v>2000000</c:v>
                </c:pt>
                <c:pt idx="89">
                  <c:v>20000000</c:v>
                </c:pt>
                <c:pt idx="90">
                  <c:v>3500000</c:v>
                </c:pt>
                <c:pt idx="91">
                  <c:v>2000000</c:v>
                </c:pt>
                <c:pt idx="92">
                  <c:v>30000000</c:v>
                </c:pt>
                <c:pt idx="93">
                  <c:v>5000000</c:v>
                </c:pt>
                <c:pt idx="94">
                  <c:v>10000000</c:v>
                </c:pt>
                <c:pt idx="95">
                  <c:v>10000000</c:v>
                </c:pt>
                <c:pt idx="96">
                  <c:v>10000000</c:v>
                </c:pt>
                <c:pt idx="97">
                  <c:v>20000000</c:v>
                </c:pt>
                <c:pt idx="98">
                  <c:v>50000000</c:v>
                </c:pt>
                <c:pt idx="99">
                  <c:v>20000000</c:v>
                </c:pt>
                <c:pt idx="100">
                  <c:v>10000000</c:v>
                </c:pt>
                <c:pt idx="101">
                  <c:v>20000000</c:v>
                </c:pt>
                <c:pt idx="102">
                  <c:v>3500000</c:v>
                </c:pt>
                <c:pt idx="103">
                  <c:v>3500000</c:v>
                </c:pt>
                <c:pt idx="104">
                  <c:v>10000000</c:v>
                </c:pt>
                <c:pt idx="105">
                  <c:v>10000000</c:v>
                </c:pt>
                <c:pt idx="106">
                  <c:v>10000000</c:v>
                </c:pt>
                <c:pt idx="107">
                  <c:v>5000000</c:v>
                </c:pt>
                <c:pt idx="108">
                  <c:v>10000000</c:v>
                </c:pt>
                <c:pt idx="109">
                  <c:v>10000000</c:v>
                </c:pt>
                <c:pt idx="110">
                  <c:v>2000000</c:v>
                </c:pt>
                <c:pt idx="111">
                  <c:v>40000000</c:v>
                </c:pt>
                <c:pt idx="112">
                  <c:v>10000000</c:v>
                </c:pt>
                <c:pt idx="113">
                  <c:v>2000000</c:v>
                </c:pt>
                <c:pt idx="114">
                  <c:v>10000000</c:v>
                </c:pt>
                <c:pt idx="115">
                  <c:v>10000000</c:v>
                </c:pt>
                <c:pt idx="116">
                  <c:v>2000000</c:v>
                </c:pt>
                <c:pt idx="117">
                  <c:v>5000000</c:v>
                </c:pt>
                <c:pt idx="118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E9-4731-A172-A63B343E2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479268285961511"/>
          <c:y val="0.41745151647710704"/>
          <c:w val="0.33333333333333331"/>
          <c:h val="0.582548385704091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[Tourist Spots data Bangladesh.xlsm]Ans. Q2!PivotTable2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'Ans. Q2'!$B$5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'Ans. Q2'!$A$6:$A$15</c:f>
              <c:strCache>
                <c:ptCount val="9"/>
                <c:pt idx="0">
                  <c:v>Barishal</c:v>
                </c:pt>
                <c:pt idx="1">
                  <c:v>Chattogram</c:v>
                </c:pt>
                <c:pt idx="2">
                  <c:v>Chittagong Hill Tracts (CHT)</c:v>
                </c:pt>
                <c:pt idx="3">
                  <c:v>Dhaka</c:v>
                </c:pt>
                <c:pt idx="4">
                  <c:v>Khulna</c:v>
                </c:pt>
                <c:pt idx="5">
                  <c:v>Mymensingh</c:v>
                </c:pt>
                <c:pt idx="6">
                  <c:v>Rajshahi</c:v>
                </c:pt>
                <c:pt idx="7">
                  <c:v>Rangpur</c:v>
                </c:pt>
                <c:pt idx="8">
                  <c:v>Sylhet</c:v>
                </c:pt>
              </c:strCache>
            </c:strRef>
          </c:cat>
          <c:val>
            <c:numRef>
              <c:f>'Ans. Q2'!$B$6:$B$15</c:f>
              <c:numCache>
                <c:formatCode>General</c:formatCode>
                <c:ptCount val="9"/>
                <c:pt idx="0">
                  <c:v>11.25</c:v>
                </c:pt>
                <c:pt idx="1">
                  <c:v>83.571428571428569</c:v>
                </c:pt>
                <c:pt idx="2">
                  <c:v>22.352941176470587</c:v>
                </c:pt>
                <c:pt idx="3">
                  <c:v>2035</c:v>
                </c:pt>
                <c:pt idx="4">
                  <c:v>5</c:v>
                </c:pt>
                <c:pt idx="5">
                  <c:v>14</c:v>
                </c:pt>
                <c:pt idx="6">
                  <c:v>13.888888888888889</c:v>
                </c:pt>
                <c:pt idx="7">
                  <c:v>20</c:v>
                </c:pt>
                <c:pt idx="8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0C-4811-BF61-52D9CEF38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6740895"/>
        <c:axId val="693249231"/>
      </c:lineChart>
      <c:catAx>
        <c:axId val="686740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249231"/>
        <c:crosses val="autoZero"/>
        <c:auto val="1"/>
        <c:lblAlgn val="ctr"/>
        <c:lblOffset val="100"/>
        <c:noMultiLvlLbl val="0"/>
      </c:catAx>
      <c:valAx>
        <c:axId val="693249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40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[Tourist Spots data Bangladesh.xlsm]Ans. Q4!PivotTable4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'Ans. Q4'!$B$5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'Ans. Q4'!$A$6:$A$22</c:f>
              <c:multiLvlStrCache>
                <c:ptCount val="8"/>
                <c:lvl>
                  <c:pt idx="0">
                    <c:v>Yes</c:v>
                  </c:pt>
                  <c:pt idx="1">
                    <c:v>Yes</c:v>
                  </c:pt>
                  <c:pt idx="2">
                    <c:v>Yes</c:v>
                  </c:pt>
                  <c:pt idx="3">
                    <c:v>Yes</c:v>
                  </c:pt>
                  <c:pt idx="4">
                    <c:v>Yes</c:v>
                  </c:pt>
                  <c:pt idx="5">
                    <c:v>Yes</c:v>
                  </c:pt>
                  <c:pt idx="6">
                    <c:v>Yes</c:v>
                  </c:pt>
                  <c:pt idx="7">
                    <c:v>Yes</c:v>
                  </c:pt>
                </c:lvl>
                <c:lvl>
                  <c:pt idx="0">
                    <c:v>Barishal</c:v>
                  </c:pt>
                  <c:pt idx="1">
                    <c:v>Chattogram</c:v>
                  </c:pt>
                  <c:pt idx="2">
                    <c:v>Chittagong Hill Tracts (CHT)</c:v>
                  </c:pt>
                  <c:pt idx="3">
                    <c:v>Dhaka</c:v>
                  </c:pt>
                  <c:pt idx="4">
                    <c:v>Khulna</c:v>
                  </c:pt>
                  <c:pt idx="5">
                    <c:v>Mymensingh</c:v>
                  </c:pt>
                  <c:pt idx="6">
                    <c:v>Rajshahi</c:v>
                  </c:pt>
                  <c:pt idx="7">
                    <c:v>Sylhet</c:v>
                  </c:pt>
                </c:lvl>
              </c:multiLvlStrCache>
            </c:multiLvlStrRef>
          </c:cat>
          <c:val>
            <c:numRef>
              <c:f>'Ans. Q4'!$B$6:$B$22</c:f>
              <c:numCache>
                <c:formatCode>General</c:formatCode>
                <c:ptCount val="8"/>
                <c:pt idx="0">
                  <c:v>22</c:v>
                </c:pt>
                <c:pt idx="1">
                  <c:v>2</c:v>
                </c:pt>
                <c:pt idx="2">
                  <c:v>34</c:v>
                </c:pt>
                <c:pt idx="3">
                  <c:v>16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A1-4702-A0D0-6CC87891A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6454719"/>
        <c:axId val="712266095"/>
      </c:barChart>
      <c:catAx>
        <c:axId val="1164547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266095"/>
        <c:crosses val="autoZero"/>
        <c:auto val="1"/>
        <c:lblAlgn val="ctr"/>
        <c:lblOffset val="100"/>
        <c:noMultiLvlLbl val="0"/>
      </c:catAx>
      <c:valAx>
        <c:axId val="712266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454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[Tourist Spots data Bangladesh.xlsm]Ans. Q5!PivotTable1</c:name>
    <c:fmtId val="2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'Ans. Q5'!$B$5</c:f>
              <c:strCache>
                <c:ptCount val="1"/>
                <c:pt idx="0">
                  <c:v>Sum of Gov Revenue yearly (Tk)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'Ans. Q5'!$A$6:$A$125</c:f>
              <c:strCache>
                <c:ptCount val="119"/>
                <c:pt idx="0">
                  <c:v>Ahsan Manzil</c:v>
                </c:pt>
                <c:pt idx="1">
                  <c:v>Alutila Cave</c:v>
                </c:pt>
                <c:pt idx="2">
                  <c:v>Amiakhum Waterfall</c:v>
                </c:pt>
                <c:pt idx="3">
                  <c:v>Armenian Church</c:v>
                </c:pt>
                <c:pt idx="4">
                  <c:v>Bagha Mosque</c:v>
                </c:pt>
                <c:pt idx="5">
                  <c:v>Baitul Mukarram National Mosque</c:v>
                </c:pt>
                <c:pt idx="6">
                  <c:v>Baldha Gardens</c:v>
                </c:pt>
                <c:pt idx="7">
                  <c:v>Bangabandhu Memorial Museum</c:v>
                </c:pt>
                <c:pt idx="8">
                  <c:v>Bangabandhu Safari Park</c:v>
                </c:pt>
                <c:pt idx="9">
                  <c:v>Bangladesh Folk Art &amp; Crafts Foundation</c:v>
                </c:pt>
                <c:pt idx="10">
                  <c:v>Barguna Biskhali Rever</c:v>
                </c:pt>
                <c:pt idx="11">
                  <c:v>Bell’s Park and Zoo</c:v>
                </c:pt>
                <c:pt idx="12">
                  <c:v>Bhawal National Park</c:v>
                </c:pt>
                <c:pt idx="13">
                  <c:v>Bhawal Resort and Spa</c:v>
                </c:pt>
                <c:pt idx="14">
                  <c:v>Bibichini Shahi Mosque</c:v>
                </c:pt>
                <c:pt idx="15">
                  <c:v>Bibir Pukur</c:v>
                </c:pt>
                <c:pt idx="16">
                  <c:v>Bichanakandi</c:v>
                </c:pt>
                <c:pt idx="17">
                  <c:v>Bipin Park</c:v>
                </c:pt>
                <c:pt idx="18">
                  <c:v>Bir Shreshtha Mostafa Kamal Memorial Museum</c:v>
                </c:pt>
                <c:pt idx="19">
                  <c:v>Birsrestha Munshi Abdur Rauf Monument</c:v>
                </c:pt>
                <c:pt idx="20">
                  <c:v>Boga Lake</c:v>
                </c:pt>
                <c:pt idx="21">
                  <c:v>Buddha Dhatu Jadi</c:v>
                </c:pt>
                <c:pt idx="22">
                  <c:v>Buddhist Temple at Taltoli</c:v>
                </c:pt>
                <c:pt idx="23">
                  <c:v>Central Shaheed minar</c:v>
                </c:pt>
                <c:pt idx="24">
                  <c:v>Chattogram War Cemetery</c:v>
                </c:pt>
                <c:pt idx="25">
                  <c:v>Chimbuk Hill</c:v>
                </c:pt>
                <c:pt idx="26">
                  <c:v>Choto Sona Mosque</c:v>
                </c:pt>
                <c:pt idx="27">
                  <c:v>Comillar Jogonnath Mondir</c:v>
                </c:pt>
                <c:pt idx="28">
                  <c:v>Cox's Bazar Marin drive</c:v>
                </c:pt>
                <c:pt idx="29">
                  <c:v>Curzon Hall</c:v>
                </c:pt>
                <c:pt idx="30">
                  <c:v>Debota Pahar</c:v>
                </c:pt>
                <c:pt idx="31">
                  <c:v>Dhakeshwari National Temple</c:v>
                </c:pt>
                <c:pt idx="32">
                  <c:v>Dhuppani Waterfall</c:v>
                </c:pt>
                <c:pt idx="33">
                  <c:v>Durga Sagar</c:v>
                </c:pt>
                <c:pt idx="34">
                  <c:v>Foy’s Lake Concord Amusement World</c:v>
                </c:pt>
                <c:pt idx="35">
                  <c:v>Guava Market</c:v>
                </c:pt>
                <c:pt idx="36">
                  <c:v>Guthia Mosque</c:v>
                </c:pt>
                <c:pt idx="37">
                  <c:v>Happy Island</c:v>
                </c:pt>
                <c:pt idx="38">
                  <c:v>Haringhata Forest Eco Park</c:v>
                </c:pt>
                <c:pt idx="39">
                  <c:v>Hatimatha Pahar</c:v>
                </c:pt>
                <c:pt idx="40">
                  <c:v>Hazachora Waterfalls</c:v>
                </c:pt>
                <c:pt idx="41">
                  <c:v>holiday resourt</c:v>
                </c:pt>
                <c:pt idx="42">
                  <c:v>Horin pala Eco park</c:v>
                </c:pt>
                <c:pt idx="43">
                  <c:v>Horticulture Heritage Park</c:v>
                </c:pt>
                <c:pt idx="44">
                  <c:v>Inani Beach</c:v>
                </c:pt>
                <c:pt idx="45">
                  <c:v>Jacob Tower</c:v>
                </c:pt>
                <c:pt idx="46">
                  <c:v>Jaflong</c:v>
                </c:pt>
                <c:pt idx="47">
                  <c:v>Jhulonto Bridge</c:v>
                </c:pt>
                <c:pt idx="48">
                  <c:v>Jolsiri central Park</c:v>
                </c:pt>
                <c:pt idx="49">
                  <c:v>Kantajew Temple</c:v>
                </c:pt>
                <c:pt idx="50">
                  <c:v>Kaptai Lake</c:v>
                </c:pt>
                <c:pt idx="51">
                  <c:v>Keokradong</c:v>
                </c:pt>
                <c:pt idx="52">
                  <c:v>Komlok Waterfalls</c:v>
                </c:pt>
                <c:pt idx="53">
                  <c:v>Kpotakkho Nod</c:v>
                </c:pt>
                <c:pt idx="54">
                  <c:v>Kuakata Beach</c:v>
                </c:pt>
                <c:pt idx="55">
                  <c:v>Kuakata Buddhist Temple</c:v>
                </c:pt>
                <c:pt idx="56">
                  <c:v>Kuakata Eco Park</c:v>
                </c:pt>
                <c:pt idx="57">
                  <c:v>kurmitola golf club</c:v>
                </c:pt>
                <c:pt idx="58">
                  <c:v>Kusumba Mosque</c:v>
                </c:pt>
                <c:pt idx="59">
                  <c:v>Lake View Island</c:v>
                </c:pt>
                <c:pt idx="60">
                  <c:v>Lalbagh Fort</c:v>
                </c:pt>
                <c:pt idx="61">
                  <c:v>Lawachara Rain Forest</c:v>
                </c:pt>
                <c:pt idx="62">
                  <c:v>Liberation War Museum</c:v>
                </c:pt>
                <c:pt idx="63">
                  <c:v>Madhabkunda Waterfall</c:v>
                </c:pt>
                <c:pt idx="64">
                  <c:v>Mahasthangarh</c:v>
                </c:pt>
                <c:pt idx="65">
                  <c:v>Manpura Island</c:v>
                </c:pt>
                <c:pt idx="66">
                  <c:v>Matai Pukhiri</c:v>
                </c:pt>
                <c:pt idx="67">
                  <c:v>Mayabini Lake</c:v>
                </c:pt>
                <c:pt idx="68">
                  <c:v>Meghla Parjatan Complex</c:v>
                </c:pt>
                <c:pt idx="69">
                  <c:v>Monpura Island</c:v>
                </c:pt>
                <c:pt idx="70">
                  <c:v>Mung Rajbari</c:v>
                </c:pt>
                <c:pt idx="71">
                  <c:v>Muppochora Jhorna</c:v>
                </c:pt>
                <c:pt idx="72">
                  <c:v>Mymensingh Museum</c:v>
                </c:pt>
                <c:pt idx="73">
                  <c:v>Nafa-khum Waterfall</c:v>
                </c:pt>
                <c:pt idx="74">
                  <c:v>Nathpotty Lake</c:v>
                </c:pt>
                <c:pt idx="75">
                  <c:v>National Botanical Garden</c:v>
                </c:pt>
                <c:pt idx="76">
                  <c:v>National Martyrs’ Memorial</c:v>
                </c:pt>
                <c:pt idx="77">
                  <c:v>National Parliment House</c:v>
                </c:pt>
                <c:pt idx="78">
                  <c:v>National Zoo</c:v>
                </c:pt>
                <c:pt idx="79">
                  <c:v>New Zealand Para</c:v>
                </c:pt>
                <c:pt idx="80">
                  <c:v>Nilachal</c:v>
                </c:pt>
                <c:pt idx="81">
                  <c:v>Nilgiri Tourist Center</c:v>
                </c:pt>
                <c:pt idx="82">
                  <c:v>Nuhash Polli</c:v>
                </c:pt>
                <c:pt idx="83">
                  <c:v>Paharpur Buddhist Monastery</c:v>
                </c:pt>
                <c:pt idx="84">
                  <c:v>Panchari Shantipur Aranya Kutir</c:v>
                </c:pt>
                <c:pt idx="85">
                  <c:v>Polwel Park</c:v>
                </c:pt>
                <c:pt idx="86">
                  <c:v>Puthia Rajbari</c:v>
                </c:pt>
                <c:pt idx="87">
                  <c:v>Rabindro kuti bari</c:v>
                </c:pt>
                <c:pt idx="88">
                  <c:v>Rajban Bihar</c:v>
                </c:pt>
                <c:pt idx="89">
                  <c:v>Rajshahi University Campus</c:v>
                </c:pt>
                <c:pt idx="90">
                  <c:v>Ramgopalpur Zamindar House</c:v>
                </c:pt>
                <c:pt idx="91">
                  <c:v>Ramna Park</c:v>
                </c:pt>
                <c:pt idx="92">
                  <c:v>Ratargul Swamp Forest</c:v>
                </c:pt>
                <c:pt idx="93">
                  <c:v>Risang Jhorna</c:v>
                </c:pt>
                <c:pt idx="94">
                  <c:v>Royerkathi Jomidar Bari</c:v>
                </c:pt>
                <c:pt idx="95">
                  <c:v>Rupsa Bridge</c:v>
                </c:pt>
                <c:pt idx="96">
                  <c:v>Sadarghat</c:v>
                </c:pt>
                <c:pt idx="97">
                  <c:v>Sailapropat Jharna</c:v>
                </c:pt>
                <c:pt idx="98">
                  <c:v>Saint Martin’s Island</c:v>
                </c:pt>
                <c:pt idx="99">
                  <c:v>Sajek Valley</c:v>
                </c:pt>
                <c:pt idx="100">
                  <c:v>Shaheed A.H.M. Kamaruzzaman Central Par</c:v>
                </c:pt>
                <c:pt idx="101">
                  <c:v>Shalban bihar</c:v>
                </c:pt>
                <c:pt idx="102">
                  <c:v>Shankar Motth</c:v>
                </c:pt>
                <c:pt idx="103">
                  <c:v>Sher-e-Bangla’s Home</c:v>
                </c:pt>
                <c:pt idx="104">
                  <c:v>Shoshi Lodge</c:v>
                </c:pt>
                <c:pt idx="105">
                  <c:v>Shuvalong Jhorna</c:v>
                </c:pt>
                <c:pt idx="106">
                  <c:v>Shuvo Shondha Beach</c:v>
                </c:pt>
                <c:pt idx="107">
                  <c:v>Sonargaon, Panam City</c:v>
                </c:pt>
                <c:pt idx="108">
                  <c:v>Star Mosque</c:v>
                </c:pt>
                <c:pt idx="109">
                  <c:v>Suhrawardy Udyan</c:v>
                </c:pt>
                <c:pt idx="110">
                  <c:v>TAIDUCHARA WATERFALL</c:v>
                </c:pt>
                <c:pt idx="111">
                  <c:v>Tanguar Haor</c:v>
                </c:pt>
                <c:pt idx="112">
                  <c:v>Tea Garden</c:v>
                </c:pt>
                <c:pt idx="113">
                  <c:v>Tengragiri Ecopark</c:v>
                </c:pt>
                <c:pt idx="114">
                  <c:v>The Holy Shrine of Hazrat Shahjalal (R)</c:v>
                </c:pt>
                <c:pt idx="115">
                  <c:v>The Holy Shrine of Hazrat Shaporan (R)</c:v>
                </c:pt>
                <c:pt idx="116">
                  <c:v>Uttara Ganabhaban</c:v>
                </c:pt>
                <c:pt idx="117">
                  <c:v>Varendra Research Museum</c:v>
                </c:pt>
                <c:pt idx="118">
                  <c:v>Zainul Abedin Museum</c:v>
                </c:pt>
              </c:strCache>
            </c:strRef>
          </c:cat>
          <c:val>
            <c:numRef>
              <c:f>'Ans. Q5'!$B$6:$B$125</c:f>
              <c:numCache>
                <c:formatCode>General</c:formatCode>
                <c:ptCount val="119"/>
                <c:pt idx="0">
                  <c:v>10000000</c:v>
                </c:pt>
                <c:pt idx="1">
                  <c:v>5000000</c:v>
                </c:pt>
                <c:pt idx="2">
                  <c:v>3500000</c:v>
                </c:pt>
                <c:pt idx="3">
                  <c:v>2000000</c:v>
                </c:pt>
                <c:pt idx="4">
                  <c:v>3000000</c:v>
                </c:pt>
                <c:pt idx="5">
                  <c:v>5000000</c:v>
                </c:pt>
                <c:pt idx="6">
                  <c:v>2000000</c:v>
                </c:pt>
                <c:pt idx="7">
                  <c:v>10000000</c:v>
                </c:pt>
                <c:pt idx="8">
                  <c:v>2000000</c:v>
                </c:pt>
                <c:pt idx="9">
                  <c:v>20000000</c:v>
                </c:pt>
                <c:pt idx="10">
                  <c:v>2000000</c:v>
                </c:pt>
                <c:pt idx="11">
                  <c:v>20000000</c:v>
                </c:pt>
                <c:pt idx="12">
                  <c:v>8000000</c:v>
                </c:pt>
                <c:pt idx="13">
                  <c:v>5000000</c:v>
                </c:pt>
                <c:pt idx="14">
                  <c:v>2000000</c:v>
                </c:pt>
                <c:pt idx="15">
                  <c:v>10000000</c:v>
                </c:pt>
                <c:pt idx="16">
                  <c:v>3500000</c:v>
                </c:pt>
                <c:pt idx="17">
                  <c:v>2000000</c:v>
                </c:pt>
                <c:pt idx="18">
                  <c:v>5000000</c:v>
                </c:pt>
                <c:pt idx="19">
                  <c:v>3500000</c:v>
                </c:pt>
                <c:pt idx="20">
                  <c:v>20000000</c:v>
                </c:pt>
                <c:pt idx="21">
                  <c:v>5000000</c:v>
                </c:pt>
                <c:pt idx="22">
                  <c:v>3500000</c:v>
                </c:pt>
                <c:pt idx="23">
                  <c:v>20000000</c:v>
                </c:pt>
                <c:pt idx="24">
                  <c:v>50000000</c:v>
                </c:pt>
                <c:pt idx="25">
                  <c:v>3500000</c:v>
                </c:pt>
                <c:pt idx="26">
                  <c:v>3500000</c:v>
                </c:pt>
                <c:pt idx="27">
                  <c:v>4000000</c:v>
                </c:pt>
                <c:pt idx="28">
                  <c:v>50000000</c:v>
                </c:pt>
                <c:pt idx="29">
                  <c:v>50000000</c:v>
                </c:pt>
                <c:pt idx="30">
                  <c:v>4000000</c:v>
                </c:pt>
                <c:pt idx="31">
                  <c:v>10000000</c:v>
                </c:pt>
                <c:pt idx="32">
                  <c:v>2000000</c:v>
                </c:pt>
                <c:pt idx="33">
                  <c:v>1000000</c:v>
                </c:pt>
                <c:pt idx="34">
                  <c:v>5000000</c:v>
                </c:pt>
                <c:pt idx="35">
                  <c:v>3000000</c:v>
                </c:pt>
                <c:pt idx="36">
                  <c:v>2000000</c:v>
                </c:pt>
                <c:pt idx="37">
                  <c:v>3500000</c:v>
                </c:pt>
                <c:pt idx="38">
                  <c:v>14000000</c:v>
                </c:pt>
                <c:pt idx="39">
                  <c:v>5000000</c:v>
                </c:pt>
                <c:pt idx="40">
                  <c:v>3500000</c:v>
                </c:pt>
                <c:pt idx="41">
                  <c:v>5000000</c:v>
                </c:pt>
                <c:pt idx="42">
                  <c:v>5000000</c:v>
                </c:pt>
                <c:pt idx="43">
                  <c:v>2000000</c:v>
                </c:pt>
                <c:pt idx="44">
                  <c:v>8000000</c:v>
                </c:pt>
                <c:pt idx="45">
                  <c:v>5000000</c:v>
                </c:pt>
                <c:pt idx="46">
                  <c:v>5000000</c:v>
                </c:pt>
                <c:pt idx="47">
                  <c:v>3000000</c:v>
                </c:pt>
                <c:pt idx="48">
                  <c:v>5000000</c:v>
                </c:pt>
                <c:pt idx="49">
                  <c:v>10000000</c:v>
                </c:pt>
                <c:pt idx="50">
                  <c:v>4000000</c:v>
                </c:pt>
                <c:pt idx="51">
                  <c:v>2000000</c:v>
                </c:pt>
                <c:pt idx="52">
                  <c:v>5000000</c:v>
                </c:pt>
                <c:pt idx="53">
                  <c:v>3500000</c:v>
                </c:pt>
                <c:pt idx="54">
                  <c:v>100000000</c:v>
                </c:pt>
                <c:pt idx="55">
                  <c:v>100000</c:v>
                </c:pt>
                <c:pt idx="56">
                  <c:v>10000000</c:v>
                </c:pt>
                <c:pt idx="57">
                  <c:v>30000000</c:v>
                </c:pt>
                <c:pt idx="58">
                  <c:v>4000000</c:v>
                </c:pt>
                <c:pt idx="59">
                  <c:v>2000000</c:v>
                </c:pt>
                <c:pt idx="60">
                  <c:v>5000000</c:v>
                </c:pt>
                <c:pt idx="61">
                  <c:v>10000000</c:v>
                </c:pt>
                <c:pt idx="62">
                  <c:v>10000000</c:v>
                </c:pt>
                <c:pt idx="63">
                  <c:v>20000000</c:v>
                </c:pt>
                <c:pt idx="64">
                  <c:v>2000000</c:v>
                </c:pt>
                <c:pt idx="65">
                  <c:v>5000000</c:v>
                </c:pt>
                <c:pt idx="66">
                  <c:v>5000000</c:v>
                </c:pt>
                <c:pt idx="67">
                  <c:v>5000000</c:v>
                </c:pt>
                <c:pt idx="68">
                  <c:v>3500000</c:v>
                </c:pt>
                <c:pt idx="69">
                  <c:v>5000000</c:v>
                </c:pt>
                <c:pt idx="70">
                  <c:v>5000000</c:v>
                </c:pt>
                <c:pt idx="71">
                  <c:v>2000000</c:v>
                </c:pt>
                <c:pt idx="72">
                  <c:v>4000000</c:v>
                </c:pt>
                <c:pt idx="73">
                  <c:v>4000000</c:v>
                </c:pt>
                <c:pt idx="74">
                  <c:v>3500000</c:v>
                </c:pt>
                <c:pt idx="75">
                  <c:v>50000000</c:v>
                </c:pt>
                <c:pt idx="76">
                  <c:v>10000000</c:v>
                </c:pt>
                <c:pt idx="77">
                  <c:v>10000000</c:v>
                </c:pt>
                <c:pt idx="78">
                  <c:v>50000000</c:v>
                </c:pt>
                <c:pt idx="79">
                  <c:v>3000000</c:v>
                </c:pt>
                <c:pt idx="80">
                  <c:v>5000000</c:v>
                </c:pt>
                <c:pt idx="81">
                  <c:v>2000000</c:v>
                </c:pt>
                <c:pt idx="82">
                  <c:v>1000000</c:v>
                </c:pt>
                <c:pt idx="83">
                  <c:v>5000000</c:v>
                </c:pt>
                <c:pt idx="84">
                  <c:v>5000000</c:v>
                </c:pt>
                <c:pt idx="85">
                  <c:v>5000000</c:v>
                </c:pt>
                <c:pt idx="86">
                  <c:v>10000000</c:v>
                </c:pt>
                <c:pt idx="87">
                  <c:v>2000000</c:v>
                </c:pt>
                <c:pt idx="88">
                  <c:v>2000000</c:v>
                </c:pt>
                <c:pt idx="89">
                  <c:v>20000000</c:v>
                </c:pt>
                <c:pt idx="90">
                  <c:v>3500000</c:v>
                </c:pt>
                <c:pt idx="91">
                  <c:v>2000000</c:v>
                </c:pt>
                <c:pt idx="92">
                  <c:v>30000000</c:v>
                </c:pt>
                <c:pt idx="93">
                  <c:v>5000000</c:v>
                </c:pt>
                <c:pt idx="94">
                  <c:v>10000000</c:v>
                </c:pt>
                <c:pt idx="95">
                  <c:v>10000000</c:v>
                </c:pt>
                <c:pt idx="96">
                  <c:v>10000000</c:v>
                </c:pt>
                <c:pt idx="97">
                  <c:v>20000000</c:v>
                </c:pt>
                <c:pt idx="98">
                  <c:v>50000000</c:v>
                </c:pt>
                <c:pt idx="99">
                  <c:v>20000000</c:v>
                </c:pt>
                <c:pt idx="100">
                  <c:v>10000000</c:v>
                </c:pt>
                <c:pt idx="101">
                  <c:v>20000000</c:v>
                </c:pt>
                <c:pt idx="102">
                  <c:v>3500000</c:v>
                </c:pt>
                <c:pt idx="103">
                  <c:v>3500000</c:v>
                </c:pt>
                <c:pt idx="104">
                  <c:v>10000000</c:v>
                </c:pt>
                <c:pt idx="105">
                  <c:v>10000000</c:v>
                </c:pt>
                <c:pt idx="106">
                  <c:v>10000000</c:v>
                </c:pt>
                <c:pt idx="107">
                  <c:v>5000000</c:v>
                </c:pt>
                <c:pt idx="108">
                  <c:v>10000000</c:v>
                </c:pt>
                <c:pt idx="109">
                  <c:v>10000000</c:v>
                </c:pt>
                <c:pt idx="110">
                  <c:v>2000000</c:v>
                </c:pt>
                <c:pt idx="111">
                  <c:v>40000000</c:v>
                </c:pt>
                <c:pt idx="112">
                  <c:v>10000000</c:v>
                </c:pt>
                <c:pt idx="113">
                  <c:v>2000000</c:v>
                </c:pt>
                <c:pt idx="114">
                  <c:v>10000000</c:v>
                </c:pt>
                <c:pt idx="115">
                  <c:v>10000000</c:v>
                </c:pt>
                <c:pt idx="116">
                  <c:v>2000000</c:v>
                </c:pt>
                <c:pt idx="117">
                  <c:v>5000000</c:v>
                </c:pt>
                <c:pt idx="118">
                  <c:v>10000000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4-46C6-B887-1F60CF68CEA1}"/>
            </c:ext>
          </c:extLst>
        </c:ser>
        <c:ser>
          <c:idx val="1"/>
          <c:order val="1"/>
          <c:tx>
            <c:strRef>
              <c:f>'Ans. Q5'!$C$5</c:f>
              <c:strCache>
                <c:ptCount val="1"/>
                <c:pt idx="0">
                  <c:v>Sum of Dev Cost yearly (Tk)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'Ans. Q5'!$A$6:$A$125</c:f>
              <c:strCache>
                <c:ptCount val="119"/>
                <c:pt idx="0">
                  <c:v>Ahsan Manzil</c:v>
                </c:pt>
                <c:pt idx="1">
                  <c:v>Alutila Cave</c:v>
                </c:pt>
                <c:pt idx="2">
                  <c:v>Amiakhum Waterfall</c:v>
                </c:pt>
                <c:pt idx="3">
                  <c:v>Armenian Church</c:v>
                </c:pt>
                <c:pt idx="4">
                  <c:v>Bagha Mosque</c:v>
                </c:pt>
                <c:pt idx="5">
                  <c:v>Baitul Mukarram National Mosque</c:v>
                </c:pt>
                <c:pt idx="6">
                  <c:v>Baldha Gardens</c:v>
                </c:pt>
                <c:pt idx="7">
                  <c:v>Bangabandhu Memorial Museum</c:v>
                </c:pt>
                <c:pt idx="8">
                  <c:v>Bangabandhu Safari Park</c:v>
                </c:pt>
                <c:pt idx="9">
                  <c:v>Bangladesh Folk Art &amp; Crafts Foundation</c:v>
                </c:pt>
                <c:pt idx="10">
                  <c:v>Barguna Biskhali Rever</c:v>
                </c:pt>
                <c:pt idx="11">
                  <c:v>Bell’s Park and Zoo</c:v>
                </c:pt>
                <c:pt idx="12">
                  <c:v>Bhawal National Park</c:v>
                </c:pt>
                <c:pt idx="13">
                  <c:v>Bhawal Resort and Spa</c:v>
                </c:pt>
                <c:pt idx="14">
                  <c:v>Bibichini Shahi Mosque</c:v>
                </c:pt>
                <c:pt idx="15">
                  <c:v>Bibir Pukur</c:v>
                </c:pt>
                <c:pt idx="16">
                  <c:v>Bichanakandi</c:v>
                </c:pt>
                <c:pt idx="17">
                  <c:v>Bipin Park</c:v>
                </c:pt>
                <c:pt idx="18">
                  <c:v>Bir Shreshtha Mostafa Kamal Memorial Museum</c:v>
                </c:pt>
                <c:pt idx="19">
                  <c:v>Birsrestha Munshi Abdur Rauf Monument</c:v>
                </c:pt>
                <c:pt idx="20">
                  <c:v>Boga Lake</c:v>
                </c:pt>
                <c:pt idx="21">
                  <c:v>Buddha Dhatu Jadi</c:v>
                </c:pt>
                <c:pt idx="22">
                  <c:v>Buddhist Temple at Taltoli</c:v>
                </c:pt>
                <c:pt idx="23">
                  <c:v>Central Shaheed minar</c:v>
                </c:pt>
                <c:pt idx="24">
                  <c:v>Chattogram War Cemetery</c:v>
                </c:pt>
                <c:pt idx="25">
                  <c:v>Chimbuk Hill</c:v>
                </c:pt>
                <c:pt idx="26">
                  <c:v>Choto Sona Mosque</c:v>
                </c:pt>
                <c:pt idx="27">
                  <c:v>Comillar Jogonnath Mondir</c:v>
                </c:pt>
                <c:pt idx="28">
                  <c:v>Cox's Bazar Marin drive</c:v>
                </c:pt>
                <c:pt idx="29">
                  <c:v>Curzon Hall</c:v>
                </c:pt>
                <c:pt idx="30">
                  <c:v>Debota Pahar</c:v>
                </c:pt>
                <c:pt idx="31">
                  <c:v>Dhakeshwari National Temple</c:v>
                </c:pt>
                <c:pt idx="32">
                  <c:v>Dhuppani Waterfall</c:v>
                </c:pt>
                <c:pt idx="33">
                  <c:v>Durga Sagar</c:v>
                </c:pt>
                <c:pt idx="34">
                  <c:v>Foy’s Lake Concord Amusement World</c:v>
                </c:pt>
                <c:pt idx="35">
                  <c:v>Guava Market</c:v>
                </c:pt>
                <c:pt idx="36">
                  <c:v>Guthia Mosque</c:v>
                </c:pt>
                <c:pt idx="37">
                  <c:v>Happy Island</c:v>
                </c:pt>
                <c:pt idx="38">
                  <c:v>Haringhata Forest Eco Park</c:v>
                </c:pt>
                <c:pt idx="39">
                  <c:v>Hatimatha Pahar</c:v>
                </c:pt>
                <c:pt idx="40">
                  <c:v>Hazachora Waterfalls</c:v>
                </c:pt>
                <c:pt idx="41">
                  <c:v>holiday resourt</c:v>
                </c:pt>
                <c:pt idx="42">
                  <c:v>Horin pala Eco park</c:v>
                </c:pt>
                <c:pt idx="43">
                  <c:v>Horticulture Heritage Park</c:v>
                </c:pt>
                <c:pt idx="44">
                  <c:v>Inani Beach</c:v>
                </c:pt>
                <c:pt idx="45">
                  <c:v>Jacob Tower</c:v>
                </c:pt>
                <c:pt idx="46">
                  <c:v>Jaflong</c:v>
                </c:pt>
                <c:pt idx="47">
                  <c:v>Jhulonto Bridge</c:v>
                </c:pt>
                <c:pt idx="48">
                  <c:v>Jolsiri central Park</c:v>
                </c:pt>
                <c:pt idx="49">
                  <c:v>Kantajew Temple</c:v>
                </c:pt>
                <c:pt idx="50">
                  <c:v>Kaptai Lake</c:v>
                </c:pt>
                <c:pt idx="51">
                  <c:v>Keokradong</c:v>
                </c:pt>
                <c:pt idx="52">
                  <c:v>Komlok Waterfalls</c:v>
                </c:pt>
                <c:pt idx="53">
                  <c:v>Kpotakkho Nod</c:v>
                </c:pt>
                <c:pt idx="54">
                  <c:v>Kuakata Beach</c:v>
                </c:pt>
                <c:pt idx="55">
                  <c:v>Kuakata Buddhist Temple</c:v>
                </c:pt>
                <c:pt idx="56">
                  <c:v>Kuakata Eco Park</c:v>
                </c:pt>
                <c:pt idx="57">
                  <c:v>kurmitola golf club</c:v>
                </c:pt>
                <c:pt idx="58">
                  <c:v>Kusumba Mosque</c:v>
                </c:pt>
                <c:pt idx="59">
                  <c:v>Lake View Island</c:v>
                </c:pt>
                <c:pt idx="60">
                  <c:v>Lalbagh Fort</c:v>
                </c:pt>
                <c:pt idx="61">
                  <c:v>Lawachara Rain Forest</c:v>
                </c:pt>
                <c:pt idx="62">
                  <c:v>Liberation War Museum</c:v>
                </c:pt>
                <c:pt idx="63">
                  <c:v>Madhabkunda Waterfall</c:v>
                </c:pt>
                <c:pt idx="64">
                  <c:v>Mahasthangarh</c:v>
                </c:pt>
                <c:pt idx="65">
                  <c:v>Manpura Island</c:v>
                </c:pt>
                <c:pt idx="66">
                  <c:v>Matai Pukhiri</c:v>
                </c:pt>
                <c:pt idx="67">
                  <c:v>Mayabini Lake</c:v>
                </c:pt>
                <c:pt idx="68">
                  <c:v>Meghla Parjatan Complex</c:v>
                </c:pt>
                <c:pt idx="69">
                  <c:v>Monpura Island</c:v>
                </c:pt>
                <c:pt idx="70">
                  <c:v>Mung Rajbari</c:v>
                </c:pt>
                <c:pt idx="71">
                  <c:v>Muppochora Jhorna</c:v>
                </c:pt>
                <c:pt idx="72">
                  <c:v>Mymensingh Museum</c:v>
                </c:pt>
                <c:pt idx="73">
                  <c:v>Nafa-khum Waterfall</c:v>
                </c:pt>
                <c:pt idx="74">
                  <c:v>Nathpotty Lake</c:v>
                </c:pt>
                <c:pt idx="75">
                  <c:v>National Botanical Garden</c:v>
                </c:pt>
                <c:pt idx="76">
                  <c:v>National Martyrs’ Memorial</c:v>
                </c:pt>
                <c:pt idx="77">
                  <c:v>National Parliment House</c:v>
                </c:pt>
                <c:pt idx="78">
                  <c:v>National Zoo</c:v>
                </c:pt>
                <c:pt idx="79">
                  <c:v>New Zealand Para</c:v>
                </c:pt>
                <c:pt idx="80">
                  <c:v>Nilachal</c:v>
                </c:pt>
                <c:pt idx="81">
                  <c:v>Nilgiri Tourist Center</c:v>
                </c:pt>
                <c:pt idx="82">
                  <c:v>Nuhash Polli</c:v>
                </c:pt>
                <c:pt idx="83">
                  <c:v>Paharpur Buddhist Monastery</c:v>
                </c:pt>
                <c:pt idx="84">
                  <c:v>Panchari Shantipur Aranya Kutir</c:v>
                </c:pt>
                <c:pt idx="85">
                  <c:v>Polwel Park</c:v>
                </c:pt>
                <c:pt idx="86">
                  <c:v>Puthia Rajbari</c:v>
                </c:pt>
                <c:pt idx="87">
                  <c:v>Rabindro kuti bari</c:v>
                </c:pt>
                <c:pt idx="88">
                  <c:v>Rajban Bihar</c:v>
                </c:pt>
                <c:pt idx="89">
                  <c:v>Rajshahi University Campus</c:v>
                </c:pt>
                <c:pt idx="90">
                  <c:v>Ramgopalpur Zamindar House</c:v>
                </c:pt>
                <c:pt idx="91">
                  <c:v>Ramna Park</c:v>
                </c:pt>
                <c:pt idx="92">
                  <c:v>Ratargul Swamp Forest</c:v>
                </c:pt>
                <c:pt idx="93">
                  <c:v>Risang Jhorna</c:v>
                </c:pt>
                <c:pt idx="94">
                  <c:v>Royerkathi Jomidar Bari</c:v>
                </c:pt>
                <c:pt idx="95">
                  <c:v>Rupsa Bridge</c:v>
                </c:pt>
                <c:pt idx="96">
                  <c:v>Sadarghat</c:v>
                </c:pt>
                <c:pt idx="97">
                  <c:v>Sailapropat Jharna</c:v>
                </c:pt>
                <c:pt idx="98">
                  <c:v>Saint Martin’s Island</c:v>
                </c:pt>
                <c:pt idx="99">
                  <c:v>Sajek Valley</c:v>
                </c:pt>
                <c:pt idx="100">
                  <c:v>Shaheed A.H.M. Kamaruzzaman Central Par</c:v>
                </c:pt>
                <c:pt idx="101">
                  <c:v>Shalban bihar</c:v>
                </c:pt>
                <c:pt idx="102">
                  <c:v>Shankar Motth</c:v>
                </c:pt>
                <c:pt idx="103">
                  <c:v>Sher-e-Bangla’s Home</c:v>
                </c:pt>
                <c:pt idx="104">
                  <c:v>Shoshi Lodge</c:v>
                </c:pt>
                <c:pt idx="105">
                  <c:v>Shuvalong Jhorna</c:v>
                </c:pt>
                <c:pt idx="106">
                  <c:v>Shuvo Shondha Beach</c:v>
                </c:pt>
                <c:pt idx="107">
                  <c:v>Sonargaon, Panam City</c:v>
                </c:pt>
                <c:pt idx="108">
                  <c:v>Star Mosque</c:v>
                </c:pt>
                <c:pt idx="109">
                  <c:v>Suhrawardy Udyan</c:v>
                </c:pt>
                <c:pt idx="110">
                  <c:v>TAIDUCHARA WATERFALL</c:v>
                </c:pt>
                <c:pt idx="111">
                  <c:v>Tanguar Haor</c:v>
                </c:pt>
                <c:pt idx="112">
                  <c:v>Tea Garden</c:v>
                </c:pt>
                <c:pt idx="113">
                  <c:v>Tengragiri Ecopark</c:v>
                </c:pt>
                <c:pt idx="114">
                  <c:v>The Holy Shrine of Hazrat Shahjalal (R)</c:v>
                </c:pt>
                <c:pt idx="115">
                  <c:v>The Holy Shrine of Hazrat Shaporan (R)</c:v>
                </c:pt>
                <c:pt idx="116">
                  <c:v>Uttara Ganabhaban</c:v>
                </c:pt>
                <c:pt idx="117">
                  <c:v>Varendra Research Museum</c:v>
                </c:pt>
                <c:pt idx="118">
                  <c:v>Zainul Abedin Museum</c:v>
                </c:pt>
              </c:strCache>
            </c:strRef>
          </c:cat>
          <c:val>
            <c:numRef>
              <c:f>'Ans. Q5'!$C$6:$C$125</c:f>
              <c:numCache>
                <c:formatCode>General</c:formatCode>
                <c:ptCount val="119"/>
                <c:pt idx="0">
                  <c:v>5000000</c:v>
                </c:pt>
                <c:pt idx="1">
                  <c:v>10000000</c:v>
                </c:pt>
                <c:pt idx="2">
                  <c:v>2000000</c:v>
                </c:pt>
                <c:pt idx="3">
                  <c:v>1800000</c:v>
                </c:pt>
                <c:pt idx="4">
                  <c:v>1000000</c:v>
                </c:pt>
                <c:pt idx="5">
                  <c:v>2000000</c:v>
                </c:pt>
                <c:pt idx="6">
                  <c:v>1000000</c:v>
                </c:pt>
                <c:pt idx="7">
                  <c:v>5000000</c:v>
                </c:pt>
                <c:pt idx="8">
                  <c:v>1600000</c:v>
                </c:pt>
                <c:pt idx="9">
                  <c:v>10000000</c:v>
                </c:pt>
                <c:pt idx="10">
                  <c:v>500000</c:v>
                </c:pt>
                <c:pt idx="11">
                  <c:v>10000000</c:v>
                </c:pt>
                <c:pt idx="12">
                  <c:v>5000000</c:v>
                </c:pt>
                <c:pt idx="13">
                  <c:v>2000000</c:v>
                </c:pt>
                <c:pt idx="14">
                  <c:v>1800000</c:v>
                </c:pt>
                <c:pt idx="15">
                  <c:v>5000000</c:v>
                </c:pt>
                <c:pt idx="16">
                  <c:v>1500000</c:v>
                </c:pt>
                <c:pt idx="17">
                  <c:v>1000000</c:v>
                </c:pt>
                <c:pt idx="18">
                  <c:v>2500000</c:v>
                </c:pt>
                <c:pt idx="19">
                  <c:v>2000000</c:v>
                </c:pt>
                <c:pt idx="20">
                  <c:v>10000000</c:v>
                </c:pt>
                <c:pt idx="21">
                  <c:v>4000000</c:v>
                </c:pt>
                <c:pt idx="22">
                  <c:v>2000000</c:v>
                </c:pt>
                <c:pt idx="23">
                  <c:v>10000000</c:v>
                </c:pt>
                <c:pt idx="24">
                  <c:v>30000000</c:v>
                </c:pt>
                <c:pt idx="25">
                  <c:v>2500000</c:v>
                </c:pt>
                <c:pt idx="26">
                  <c:v>1000000</c:v>
                </c:pt>
                <c:pt idx="27">
                  <c:v>2000000</c:v>
                </c:pt>
                <c:pt idx="28">
                  <c:v>30000000</c:v>
                </c:pt>
                <c:pt idx="29">
                  <c:v>30000000</c:v>
                </c:pt>
                <c:pt idx="30">
                  <c:v>2500000</c:v>
                </c:pt>
                <c:pt idx="31">
                  <c:v>5000000</c:v>
                </c:pt>
                <c:pt idx="32">
                  <c:v>1000000</c:v>
                </c:pt>
                <c:pt idx="33">
                  <c:v>50000</c:v>
                </c:pt>
                <c:pt idx="34">
                  <c:v>1000000</c:v>
                </c:pt>
                <c:pt idx="35">
                  <c:v>1000000</c:v>
                </c:pt>
                <c:pt idx="36">
                  <c:v>1800000</c:v>
                </c:pt>
                <c:pt idx="37">
                  <c:v>2000000</c:v>
                </c:pt>
                <c:pt idx="38">
                  <c:v>7000000</c:v>
                </c:pt>
                <c:pt idx="39">
                  <c:v>2000000</c:v>
                </c:pt>
                <c:pt idx="40">
                  <c:v>2000000</c:v>
                </c:pt>
                <c:pt idx="41">
                  <c:v>2000000</c:v>
                </c:pt>
                <c:pt idx="42">
                  <c:v>2000000</c:v>
                </c:pt>
                <c:pt idx="43">
                  <c:v>2500000</c:v>
                </c:pt>
                <c:pt idx="44">
                  <c:v>4000000</c:v>
                </c:pt>
                <c:pt idx="45">
                  <c:v>3000000</c:v>
                </c:pt>
                <c:pt idx="46">
                  <c:v>2000000</c:v>
                </c:pt>
                <c:pt idx="47">
                  <c:v>1000000</c:v>
                </c:pt>
                <c:pt idx="48">
                  <c:v>2000000</c:v>
                </c:pt>
                <c:pt idx="49">
                  <c:v>5000000</c:v>
                </c:pt>
                <c:pt idx="50">
                  <c:v>2500000</c:v>
                </c:pt>
                <c:pt idx="51">
                  <c:v>1800000</c:v>
                </c:pt>
                <c:pt idx="52">
                  <c:v>4000000</c:v>
                </c:pt>
                <c:pt idx="53">
                  <c:v>1200000</c:v>
                </c:pt>
                <c:pt idx="54">
                  <c:v>50000000</c:v>
                </c:pt>
                <c:pt idx="55">
                  <c:v>80000</c:v>
                </c:pt>
                <c:pt idx="56">
                  <c:v>5000000</c:v>
                </c:pt>
                <c:pt idx="57">
                  <c:v>10000000</c:v>
                </c:pt>
                <c:pt idx="58">
                  <c:v>2000000</c:v>
                </c:pt>
                <c:pt idx="59">
                  <c:v>1800000</c:v>
                </c:pt>
                <c:pt idx="60">
                  <c:v>3000000</c:v>
                </c:pt>
                <c:pt idx="61">
                  <c:v>5000000</c:v>
                </c:pt>
                <c:pt idx="62">
                  <c:v>5000000</c:v>
                </c:pt>
                <c:pt idx="63">
                  <c:v>10000000</c:v>
                </c:pt>
                <c:pt idx="64">
                  <c:v>1500000</c:v>
                </c:pt>
                <c:pt idx="65">
                  <c:v>2000000</c:v>
                </c:pt>
                <c:pt idx="66">
                  <c:v>10000000</c:v>
                </c:pt>
                <c:pt idx="67">
                  <c:v>10000000</c:v>
                </c:pt>
                <c:pt idx="68">
                  <c:v>2000000</c:v>
                </c:pt>
                <c:pt idx="69">
                  <c:v>2000000</c:v>
                </c:pt>
                <c:pt idx="70">
                  <c:v>2000000</c:v>
                </c:pt>
                <c:pt idx="71">
                  <c:v>1600000</c:v>
                </c:pt>
                <c:pt idx="72">
                  <c:v>2000000</c:v>
                </c:pt>
                <c:pt idx="73">
                  <c:v>4000000</c:v>
                </c:pt>
                <c:pt idx="74">
                  <c:v>1500000</c:v>
                </c:pt>
                <c:pt idx="75">
                  <c:v>30000000</c:v>
                </c:pt>
                <c:pt idx="76">
                  <c:v>5000000</c:v>
                </c:pt>
                <c:pt idx="77">
                  <c:v>5000000</c:v>
                </c:pt>
                <c:pt idx="78">
                  <c:v>30000000</c:v>
                </c:pt>
                <c:pt idx="79">
                  <c:v>2000000</c:v>
                </c:pt>
                <c:pt idx="80">
                  <c:v>10000000</c:v>
                </c:pt>
                <c:pt idx="81">
                  <c:v>1500000</c:v>
                </c:pt>
                <c:pt idx="82">
                  <c:v>50000</c:v>
                </c:pt>
                <c:pt idx="83">
                  <c:v>2500000</c:v>
                </c:pt>
                <c:pt idx="84">
                  <c:v>2500000</c:v>
                </c:pt>
                <c:pt idx="85">
                  <c:v>2000000</c:v>
                </c:pt>
                <c:pt idx="86">
                  <c:v>5000000</c:v>
                </c:pt>
                <c:pt idx="87">
                  <c:v>1800000</c:v>
                </c:pt>
                <c:pt idx="88">
                  <c:v>1500000</c:v>
                </c:pt>
                <c:pt idx="89">
                  <c:v>5000000</c:v>
                </c:pt>
                <c:pt idx="90">
                  <c:v>1000000</c:v>
                </c:pt>
                <c:pt idx="91">
                  <c:v>1800000</c:v>
                </c:pt>
                <c:pt idx="92">
                  <c:v>10000000</c:v>
                </c:pt>
                <c:pt idx="93">
                  <c:v>4000000</c:v>
                </c:pt>
                <c:pt idx="94">
                  <c:v>5000000</c:v>
                </c:pt>
                <c:pt idx="95">
                  <c:v>3000000</c:v>
                </c:pt>
                <c:pt idx="96">
                  <c:v>5000000</c:v>
                </c:pt>
                <c:pt idx="97">
                  <c:v>2000000</c:v>
                </c:pt>
                <c:pt idx="98">
                  <c:v>20000000</c:v>
                </c:pt>
                <c:pt idx="99">
                  <c:v>10000000</c:v>
                </c:pt>
                <c:pt idx="100">
                  <c:v>5000000</c:v>
                </c:pt>
                <c:pt idx="101">
                  <c:v>10000000</c:v>
                </c:pt>
                <c:pt idx="102">
                  <c:v>2000000</c:v>
                </c:pt>
                <c:pt idx="103">
                  <c:v>2000000</c:v>
                </c:pt>
                <c:pt idx="104">
                  <c:v>5000000</c:v>
                </c:pt>
                <c:pt idx="105">
                  <c:v>5000000</c:v>
                </c:pt>
                <c:pt idx="106">
                  <c:v>5000000</c:v>
                </c:pt>
                <c:pt idx="107">
                  <c:v>1000000</c:v>
                </c:pt>
                <c:pt idx="108">
                  <c:v>3000000</c:v>
                </c:pt>
                <c:pt idx="109">
                  <c:v>5000000</c:v>
                </c:pt>
                <c:pt idx="110">
                  <c:v>2500000</c:v>
                </c:pt>
                <c:pt idx="111">
                  <c:v>20000000</c:v>
                </c:pt>
                <c:pt idx="112">
                  <c:v>5000000</c:v>
                </c:pt>
                <c:pt idx="113">
                  <c:v>1800000</c:v>
                </c:pt>
                <c:pt idx="114">
                  <c:v>3000000</c:v>
                </c:pt>
                <c:pt idx="115">
                  <c:v>5000000</c:v>
                </c:pt>
                <c:pt idx="116">
                  <c:v>1500000</c:v>
                </c:pt>
                <c:pt idx="117">
                  <c:v>2500000</c:v>
                </c:pt>
                <c:pt idx="118">
                  <c:v>5000000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14-46C6-B887-1F60CF68CEA1}"/>
            </c:ext>
          </c:extLst>
        </c:ser>
        <c:ser>
          <c:idx val="2"/>
          <c:order val="2"/>
          <c:tx>
            <c:strRef>
              <c:f>'Ans. Q5'!$D$5</c:f>
              <c:strCache>
                <c:ptCount val="1"/>
                <c:pt idx="0">
                  <c:v>(Revenue/Cost) Ratio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'Ans. Q5'!$A$6:$A$125</c:f>
              <c:strCache>
                <c:ptCount val="119"/>
                <c:pt idx="0">
                  <c:v>Ahsan Manzil</c:v>
                </c:pt>
                <c:pt idx="1">
                  <c:v>Alutila Cave</c:v>
                </c:pt>
                <c:pt idx="2">
                  <c:v>Amiakhum Waterfall</c:v>
                </c:pt>
                <c:pt idx="3">
                  <c:v>Armenian Church</c:v>
                </c:pt>
                <c:pt idx="4">
                  <c:v>Bagha Mosque</c:v>
                </c:pt>
                <c:pt idx="5">
                  <c:v>Baitul Mukarram National Mosque</c:v>
                </c:pt>
                <c:pt idx="6">
                  <c:v>Baldha Gardens</c:v>
                </c:pt>
                <c:pt idx="7">
                  <c:v>Bangabandhu Memorial Museum</c:v>
                </c:pt>
                <c:pt idx="8">
                  <c:v>Bangabandhu Safari Park</c:v>
                </c:pt>
                <c:pt idx="9">
                  <c:v>Bangladesh Folk Art &amp; Crafts Foundation</c:v>
                </c:pt>
                <c:pt idx="10">
                  <c:v>Barguna Biskhali Rever</c:v>
                </c:pt>
                <c:pt idx="11">
                  <c:v>Bell’s Park and Zoo</c:v>
                </c:pt>
                <c:pt idx="12">
                  <c:v>Bhawal National Park</c:v>
                </c:pt>
                <c:pt idx="13">
                  <c:v>Bhawal Resort and Spa</c:v>
                </c:pt>
                <c:pt idx="14">
                  <c:v>Bibichini Shahi Mosque</c:v>
                </c:pt>
                <c:pt idx="15">
                  <c:v>Bibir Pukur</c:v>
                </c:pt>
                <c:pt idx="16">
                  <c:v>Bichanakandi</c:v>
                </c:pt>
                <c:pt idx="17">
                  <c:v>Bipin Park</c:v>
                </c:pt>
                <c:pt idx="18">
                  <c:v>Bir Shreshtha Mostafa Kamal Memorial Museum</c:v>
                </c:pt>
                <c:pt idx="19">
                  <c:v>Birsrestha Munshi Abdur Rauf Monument</c:v>
                </c:pt>
                <c:pt idx="20">
                  <c:v>Boga Lake</c:v>
                </c:pt>
                <c:pt idx="21">
                  <c:v>Buddha Dhatu Jadi</c:v>
                </c:pt>
                <c:pt idx="22">
                  <c:v>Buddhist Temple at Taltoli</c:v>
                </c:pt>
                <c:pt idx="23">
                  <c:v>Central Shaheed minar</c:v>
                </c:pt>
                <c:pt idx="24">
                  <c:v>Chattogram War Cemetery</c:v>
                </c:pt>
                <c:pt idx="25">
                  <c:v>Chimbuk Hill</c:v>
                </c:pt>
                <c:pt idx="26">
                  <c:v>Choto Sona Mosque</c:v>
                </c:pt>
                <c:pt idx="27">
                  <c:v>Comillar Jogonnath Mondir</c:v>
                </c:pt>
                <c:pt idx="28">
                  <c:v>Cox's Bazar Marin drive</c:v>
                </c:pt>
                <c:pt idx="29">
                  <c:v>Curzon Hall</c:v>
                </c:pt>
                <c:pt idx="30">
                  <c:v>Debota Pahar</c:v>
                </c:pt>
                <c:pt idx="31">
                  <c:v>Dhakeshwari National Temple</c:v>
                </c:pt>
                <c:pt idx="32">
                  <c:v>Dhuppani Waterfall</c:v>
                </c:pt>
                <c:pt idx="33">
                  <c:v>Durga Sagar</c:v>
                </c:pt>
                <c:pt idx="34">
                  <c:v>Foy’s Lake Concord Amusement World</c:v>
                </c:pt>
                <c:pt idx="35">
                  <c:v>Guava Market</c:v>
                </c:pt>
                <c:pt idx="36">
                  <c:v>Guthia Mosque</c:v>
                </c:pt>
                <c:pt idx="37">
                  <c:v>Happy Island</c:v>
                </c:pt>
                <c:pt idx="38">
                  <c:v>Haringhata Forest Eco Park</c:v>
                </c:pt>
                <c:pt idx="39">
                  <c:v>Hatimatha Pahar</c:v>
                </c:pt>
                <c:pt idx="40">
                  <c:v>Hazachora Waterfalls</c:v>
                </c:pt>
                <c:pt idx="41">
                  <c:v>holiday resourt</c:v>
                </c:pt>
                <c:pt idx="42">
                  <c:v>Horin pala Eco park</c:v>
                </c:pt>
                <c:pt idx="43">
                  <c:v>Horticulture Heritage Park</c:v>
                </c:pt>
                <c:pt idx="44">
                  <c:v>Inani Beach</c:v>
                </c:pt>
                <c:pt idx="45">
                  <c:v>Jacob Tower</c:v>
                </c:pt>
                <c:pt idx="46">
                  <c:v>Jaflong</c:v>
                </c:pt>
                <c:pt idx="47">
                  <c:v>Jhulonto Bridge</c:v>
                </c:pt>
                <c:pt idx="48">
                  <c:v>Jolsiri central Park</c:v>
                </c:pt>
                <c:pt idx="49">
                  <c:v>Kantajew Temple</c:v>
                </c:pt>
                <c:pt idx="50">
                  <c:v>Kaptai Lake</c:v>
                </c:pt>
                <c:pt idx="51">
                  <c:v>Keokradong</c:v>
                </c:pt>
                <c:pt idx="52">
                  <c:v>Komlok Waterfalls</c:v>
                </c:pt>
                <c:pt idx="53">
                  <c:v>Kpotakkho Nod</c:v>
                </c:pt>
                <c:pt idx="54">
                  <c:v>Kuakata Beach</c:v>
                </c:pt>
                <c:pt idx="55">
                  <c:v>Kuakata Buddhist Temple</c:v>
                </c:pt>
                <c:pt idx="56">
                  <c:v>Kuakata Eco Park</c:v>
                </c:pt>
                <c:pt idx="57">
                  <c:v>kurmitola golf club</c:v>
                </c:pt>
                <c:pt idx="58">
                  <c:v>Kusumba Mosque</c:v>
                </c:pt>
                <c:pt idx="59">
                  <c:v>Lake View Island</c:v>
                </c:pt>
                <c:pt idx="60">
                  <c:v>Lalbagh Fort</c:v>
                </c:pt>
                <c:pt idx="61">
                  <c:v>Lawachara Rain Forest</c:v>
                </c:pt>
                <c:pt idx="62">
                  <c:v>Liberation War Museum</c:v>
                </c:pt>
                <c:pt idx="63">
                  <c:v>Madhabkunda Waterfall</c:v>
                </c:pt>
                <c:pt idx="64">
                  <c:v>Mahasthangarh</c:v>
                </c:pt>
                <c:pt idx="65">
                  <c:v>Manpura Island</c:v>
                </c:pt>
                <c:pt idx="66">
                  <c:v>Matai Pukhiri</c:v>
                </c:pt>
                <c:pt idx="67">
                  <c:v>Mayabini Lake</c:v>
                </c:pt>
                <c:pt idx="68">
                  <c:v>Meghla Parjatan Complex</c:v>
                </c:pt>
                <c:pt idx="69">
                  <c:v>Monpura Island</c:v>
                </c:pt>
                <c:pt idx="70">
                  <c:v>Mung Rajbari</c:v>
                </c:pt>
                <c:pt idx="71">
                  <c:v>Muppochora Jhorna</c:v>
                </c:pt>
                <c:pt idx="72">
                  <c:v>Mymensingh Museum</c:v>
                </c:pt>
                <c:pt idx="73">
                  <c:v>Nafa-khum Waterfall</c:v>
                </c:pt>
                <c:pt idx="74">
                  <c:v>Nathpotty Lake</c:v>
                </c:pt>
                <c:pt idx="75">
                  <c:v>National Botanical Garden</c:v>
                </c:pt>
                <c:pt idx="76">
                  <c:v>National Martyrs’ Memorial</c:v>
                </c:pt>
                <c:pt idx="77">
                  <c:v>National Parliment House</c:v>
                </c:pt>
                <c:pt idx="78">
                  <c:v>National Zoo</c:v>
                </c:pt>
                <c:pt idx="79">
                  <c:v>New Zealand Para</c:v>
                </c:pt>
                <c:pt idx="80">
                  <c:v>Nilachal</c:v>
                </c:pt>
                <c:pt idx="81">
                  <c:v>Nilgiri Tourist Center</c:v>
                </c:pt>
                <c:pt idx="82">
                  <c:v>Nuhash Polli</c:v>
                </c:pt>
                <c:pt idx="83">
                  <c:v>Paharpur Buddhist Monastery</c:v>
                </c:pt>
                <c:pt idx="84">
                  <c:v>Panchari Shantipur Aranya Kutir</c:v>
                </c:pt>
                <c:pt idx="85">
                  <c:v>Polwel Park</c:v>
                </c:pt>
                <c:pt idx="86">
                  <c:v>Puthia Rajbari</c:v>
                </c:pt>
                <c:pt idx="87">
                  <c:v>Rabindro kuti bari</c:v>
                </c:pt>
                <c:pt idx="88">
                  <c:v>Rajban Bihar</c:v>
                </c:pt>
                <c:pt idx="89">
                  <c:v>Rajshahi University Campus</c:v>
                </c:pt>
                <c:pt idx="90">
                  <c:v>Ramgopalpur Zamindar House</c:v>
                </c:pt>
                <c:pt idx="91">
                  <c:v>Ramna Park</c:v>
                </c:pt>
                <c:pt idx="92">
                  <c:v>Ratargul Swamp Forest</c:v>
                </c:pt>
                <c:pt idx="93">
                  <c:v>Risang Jhorna</c:v>
                </c:pt>
                <c:pt idx="94">
                  <c:v>Royerkathi Jomidar Bari</c:v>
                </c:pt>
                <c:pt idx="95">
                  <c:v>Rupsa Bridge</c:v>
                </c:pt>
                <c:pt idx="96">
                  <c:v>Sadarghat</c:v>
                </c:pt>
                <c:pt idx="97">
                  <c:v>Sailapropat Jharna</c:v>
                </c:pt>
                <c:pt idx="98">
                  <c:v>Saint Martin’s Island</c:v>
                </c:pt>
                <c:pt idx="99">
                  <c:v>Sajek Valley</c:v>
                </c:pt>
                <c:pt idx="100">
                  <c:v>Shaheed A.H.M. Kamaruzzaman Central Par</c:v>
                </c:pt>
                <c:pt idx="101">
                  <c:v>Shalban bihar</c:v>
                </c:pt>
                <c:pt idx="102">
                  <c:v>Shankar Motth</c:v>
                </c:pt>
                <c:pt idx="103">
                  <c:v>Sher-e-Bangla’s Home</c:v>
                </c:pt>
                <c:pt idx="104">
                  <c:v>Shoshi Lodge</c:v>
                </c:pt>
                <c:pt idx="105">
                  <c:v>Shuvalong Jhorna</c:v>
                </c:pt>
                <c:pt idx="106">
                  <c:v>Shuvo Shondha Beach</c:v>
                </c:pt>
                <c:pt idx="107">
                  <c:v>Sonargaon, Panam City</c:v>
                </c:pt>
                <c:pt idx="108">
                  <c:v>Star Mosque</c:v>
                </c:pt>
                <c:pt idx="109">
                  <c:v>Suhrawardy Udyan</c:v>
                </c:pt>
                <c:pt idx="110">
                  <c:v>TAIDUCHARA WATERFALL</c:v>
                </c:pt>
                <c:pt idx="111">
                  <c:v>Tanguar Haor</c:v>
                </c:pt>
                <c:pt idx="112">
                  <c:v>Tea Garden</c:v>
                </c:pt>
                <c:pt idx="113">
                  <c:v>Tengragiri Ecopark</c:v>
                </c:pt>
                <c:pt idx="114">
                  <c:v>The Holy Shrine of Hazrat Shahjalal (R)</c:v>
                </c:pt>
                <c:pt idx="115">
                  <c:v>The Holy Shrine of Hazrat Shaporan (R)</c:v>
                </c:pt>
                <c:pt idx="116">
                  <c:v>Uttara Ganabhaban</c:v>
                </c:pt>
                <c:pt idx="117">
                  <c:v>Varendra Research Museum</c:v>
                </c:pt>
                <c:pt idx="118">
                  <c:v>Zainul Abedin Museum</c:v>
                </c:pt>
              </c:strCache>
            </c:strRef>
          </c:cat>
          <c:val>
            <c:numRef>
              <c:f>'Ans. Q5'!$D$6:$D$125</c:f>
              <c:numCache>
                <c:formatCode>#,##0</c:formatCode>
                <c:ptCount val="119"/>
                <c:pt idx="0">
                  <c:v>2</c:v>
                </c:pt>
                <c:pt idx="1">
                  <c:v>0.5</c:v>
                </c:pt>
                <c:pt idx="2">
                  <c:v>1.75</c:v>
                </c:pt>
                <c:pt idx="3">
                  <c:v>1.1111111111111112</c:v>
                </c:pt>
                <c:pt idx="4">
                  <c:v>3</c:v>
                </c:pt>
                <c:pt idx="5">
                  <c:v>2.5</c:v>
                </c:pt>
                <c:pt idx="6">
                  <c:v>2</c:v>
                </c:pt>
                <c:pt idx="7">
                  <c:v>2</c:v>
                </c:pt>
                <c:pt idx="8">
                  <c:v>1.25</c:v>
                </c:pt>
                <c:pt idx="9">
                  <c:v>2</c:v>
                </c:pt>
                <c:pt idx="10">
                  <c:v>4</c:v>
                </c:pt>
                <c:pt idx="11">
                  <c:v>2</c:v>
                </c:pt>
                <c:pt idx="12">
                  <c:v>1.6</c:v>
                </c:pt>
                <c:pt idx="13">
                  <c:v>2.5</c:v>
                </c:pt>
                <c:pt idx="14">
                  <c:v>1.1111111111111112</c:v>
                </c:pt>
                <c:pt idx="15">
                  <c:v>2</c:v>
                </c:pt>
                <c:pt idx="16">
                  <c:v>2.3333333333333335</c:v>
                </c:pt>
                <c:pt idx="17">
                  <c:v>2</c:v>
                </c:pt>
                <c:pt idx="18">
                  <c:v>2</c:v>
                </c:pt>
                <c:pt idx="19">
                  <c:v>1.75</c:v>
                </c:pt>
                <c:pt idx="20">
                  <c:v>2</c:v>
                </c:pt>
                <c:pt idx="21">
                  <c:v>1.25</c:v>
                </c:pt>
                <c:pt idx="22">
                  <c:v>1.75</c:v>
                </c:pt>
                <c:pt idx="23">
                  <c:v>2</c:v>
                </c:pt>
                <c:pt idx="24">
                  <c:v>1.6666666666666667</c:v>
                </c:pt>
                <c:pt idx="25">
                  <c:v>1.4</c:v>
                </c:pt>
                <c:pt idx="26">
                  <c:v>3.5</c:v>
                </c:pt>
                <c:pt idx="27">
                  <c:v>2</c:v>
                </c:pt>
                <c:pt idx="28">
                  <c:v>1.6666666666666667</c:v>
                </c:pt>
                <c:pt idx="29">
                  <c:v>1.6666666666666667</c:v>
                </c:pt>
                <c:pt idx="30">
                  <c:v>1.6</c:v>
                </c:pt>
                <c:pt idx="31">
                  <c:v>2</c:v>
                </c:pt>
                <c:pt idx="32">
                  <c:v>2</c:v>
                </c:pt>
                <c:pt idx="33">
                  <c:v>20</c:v>
                </c:pt>
                <c:pt idx="34">
                  <c:v>5</c:v>
                </c:pt>
                <c:pt idx="35">
                  <c:v>3</c:v>
                </c:pt>
                <c:pt idx="36">
                  <c:v>1.1111111111111112</c:v>
                </c:pt>
                <c:pt idx="37">
                  <c:v>1.75</c:v>
                </c:pt>
                <c:pt idx="38">
                  <c:v>2</c:v>
                </c:pt>
                <c:pt idx="39">
                  <c:v>2.5</c:v>
                </c:pt>
                <c:pt idx="40">
                  <c:v>1.75</c:v>
                </c:pt>
                <c:pt idx="41">
                  <c:v>2.5</c:v>
                </c:pt>
                <c:pt idx="42">
                  <c:v>2.5</c:v>
                </c:pt>
                <c:pt idx="43">
                  <c:v>0.8</c:v>
                </c:pt>
                <c:pt idx="44">
                  <c:v>2</c:v>
                </c:pt>
                <c:pt idx="45">
                  <c:v>1.6666666666666667</c:v>
                </c:pt>
                <c:pt idx="46">
                  <c:v>2.5</c:v>
                </c:pt>
                <c:pt idx="47">
                  <c:v>3</c:v>
                </c:pt>
                <c:pt idx="48">
                  <c:v>2.5</c:v>
                </c:pt>
                <c:pt idx="49">
                  <c:v>2</c:v>
                </c:pt>
                <c:pt idx="50">
                  <c:v>1.6</c:v>
                </c:pt>
                <c:pt idx="51">
                  <c:v>1.1111111111111112</c:v>
                </c:pt>
                <c:pt idx="52">
                  <c:v>1.25</c:v>
                </c:pt>
                <c:pt idx="53">
                  <c:v>2.9166666666666665</c:v>
                </c:pt>
                <c:pt idx="54">
                  <c:v>2</c:v>
                </c:pt>
                <c:pt idx="55">
                  <c:v>1.25</c:v>
                </c:pt>
                <c:pt idx="56">
                  <c:v>2</c:v>
                </c:pt>
                <c:pt idx="57">
                  <c:v>3</c:v>
                </c:pt>
                <c:pt idx="58">
                  <c:v>2</c:v>
                </c:pt>
                <c:pt idx="59">
                  <c:v>1.1111111111111112</c:v>
                </c:pt>
                <c:pt idx="60">
                  <c:v>1.6666666666666667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1.3333333333333333</c:v>
                </c:pt>
                <c:pt idx="65">
                  <c:v>2.5</c:v>
                </c:pt>
                <c:pt idx="66">
                  <c:v>0.5</c:v>
                </c:pt>
                <c:pt idx="67">
                  <c:v>0.5</c:v>
                </c:pt>
                <c:pt idx="68">
                  <c:v>1.75</c:v>
                </c:pt>
                <c:pt idx="69">
                  <c:v>2.5</c:v>
                </c:pt>
                <c:pt idx="70">
                  <c:v>2.5</c:v>
                </c:pt>
                <c:pt idx="71">
                  <c:v>1.25</c:v>
                </c:pt>
                <c:pt idx="72">
                  <c:v>2</c:v>
                </c:pt>
                <c:pt idx="73">
                  <c:v>1</c:v>
                </c:pt>
                <c:pt idx="74">
                  <c:v>2.3333333333333335</c:v>
                </c:pt>
                <c:pt idx="75">
                  <c:v>1.6666666666666667</c:v>
                </c:pt>
                <c:pt idx="76">
                  <c:v>2</c:v>
                </c:pt>
                <c:pt idx="77">
                  <c:v>2</c:v>
                </c:pt>
                <c:pt idx="78">
                  <c:v>1.6666666666666667</c:v>
                </c:pt>
                <c:pt idx="79">
                  <c:v>1.5</c:v>
                </c:pt>
                <c:pt idx="80">
                  <c:v>0.5</c:v>
                </c:pt>
                <c:pt idx="81">
                  <c:v>1.3333333333333333</c:v>
                </c:pt>
                <c:pt idx="82">
                  <c:v>20</c:v>
                </c:pt>
                <c:pt idx="83">
                  <c:v>2</c:v>
                </c:pt>
                <c:pt idx="84">
                  <c:v>2</c:v>
                </c:pt>
                <c:pt idx="85">
                  <c:v>2.5</c:v>
                </c:pt>
                <c:pt idx="86">
                  <c:v>2</c:v>
                </c:pt>
                <c:pt idx="87">
                  <c:v>1.1111111111111112</c:v>
                </c:pt>
                <c:pt idx="88">
                  <c:v>1.3333333333333333</c:v>
                </c:pt>
                <c:pt idx="89">
                  <c:v>4</c:v>
                </c:pt>
                <c:pt idx="90">
                  <c:v>3.5</c:v>
                </c:pt>
                <c:pt idx="91">
                  <c:v>1.1111111111111112</c:v>
                </c:pt>
                <c:pt idx="92">
                  <c:v>3</c:v>
                </c:pt>
                <c:pt idx="93">
                  <c:v>1.25</c:v>
                </c:pt>
                <c:pt idx="94">
                  <c:v>2</c:v>
                </c:pt>
                <c:pt idx="95">
                  <c:v>3.3333333333333335</c:v>
                </c:pt>
                <c:pt idx="96">
                  <c:v>2</c:v>
                </c:pt>
                <c:pt idx="97">
                  <c:v>10</c:v>
                </c:pt>
                <c:pt idx="98">
                  <c:v>2.5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1.75</c:v>
                </c:pt>
                <c:pt idx="103">
                  <c:v>1.75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5</c:v>
                </c:pt>
                <c:pt idx="108">
                  <c:v>3.3333333333333335</c:v>
                </c:pt>
                <c:pt idx="109">
                  <c:v>2</c:v>
                </c:pt>
                <c:pt idx="110">
                  <c:v>0.8</c:v>
                </c:pt>
                <c:pt idx="111">
                  <c:v>2</c:v>
                </c:pt>
                <c:pt idx="112">
                  <c:v>2</c:v>
                </c:pt>
                <c:pt idx="113">
                  <c:v>1.1111111111111112</c:v>
                </c:pt>
                <c:pt idx="114">
                  <c:v>3.3333333333333335</c:v>
                </c:pt>
                <c:pt idx="115">
                  <c:v>2</c:v>
                </c:pt>
                <c:pt idx="116">
                  <c:v>1.3333333333333333</c:v>
                </c:pt>
                <c:pt idx="117">
                  <c:v>2</c:v>
                </c:pt>
                <c:pt idx="11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14-46C6-B887-1F60CF68C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3404463"/>
        <c:axId val="1510081839"/>
      </c:lineChart>
      <c:catAx>
        <c:axId val="1853404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0081839"/>
        <c:crosses val="autoZero"/>
        <c:auto val="1"/>
        <c:lblAlgn val="ctr"/>
        <c:lblOffset val="100"/>
        <c:noMultiLvlLbl val="0"/>
      </c:catAx>
      <c:valAx>
        <c:axId val="1510081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3404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'Ans. Q5'!$F$30</c:f>
              <c:strCache>
                <c:ptCount val="1"/>
                <c:pt idx="0">
                  <c:v>Correlation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'Ans. Q5'!$G$30</c:f>
              <c:numCache>
                <c:formatCode>General</c:formatCode>
                <c:ptCount val="1"/>
                <c:pt idx="0">
                  <c:v>0.9577643525132169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1-4515-81A7-31401EF71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97047983"/>
        <c:axId val="1446004623"/>
      </c:barChart>
      <c:catAx>
        <c:axId val="1897047983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6004623"/>
        <c:crosses val="autoZero"/>
        <c:auto val="1"/>
        <c:lblAlgn val="ctr"/>
        <c:lblOffset val="100"/>
        <c:noMultiLvlLbl val="0"/>
      </c:catAx>
      <c:valAx>
        <c:axId val="1446004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04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[Tourist Spots data Bangladesh.xlsm]Ans. Q6!PivotTable6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Visitors Chart</a:t>
            </a:r>
          </a:p>
        </c:rich>
      </c:tx>
      <c:layout>
        <c:manualLayout>
          <c:xMode val="edge"/>
          <c:yMode val="edge"/>
          <c:x val="0.37861111111111118"/>
          <c:y val="0.119349664625255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'Ans. Q6'!$B$5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'Ans. Q6'!$A$6:$A$11</c:f>
              <c:strCache>
                <c:ptCount val="5"/>
                <c:pt idx="0">
                  <c:v>Winter</c:v>
                </c:pt>
                <c:pt idx="1">
                  <c:v>Spring</c:v>
                </c:pt>
                <c:pt idx="2">
                  <c:v>All Seasion</c:v>
                </c:pt>
                <c:pt idx="3">
                  <c:v>Summer</c:v>
                </c:pt>
                <c:pt idx="4">
                  <c:v>Monsoon</c:v>
                </c:pt>
              </c:strCache>
            </c:strRef>
          </c:cat>
          <c:val>
            <c:numRef>
              <c:f>'Ans. Q6'!$B$6:$B$11</c:f>
              <c:numCache>
                <c:formatCode>General</c:formatCode>
                <c:ptCount val="5"/>
                <c:pt idx="0">
                  <c:v>83074.074074074073</c:v>
                </c:pt>
                <c:pt idx="1">
                  <c:v>15961.538461538461</c:v>
                </c:pt>
                <c:pt idx="2">
                  <c:v>6240</c:v>
                </c:pt>
                <c:pt idx="3">
                  <c:v>5152.782608695652</c:v>
                </c:pt>
                <c:pt idx="4">
                  <c:v>5073.6842105263158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0D-4489-ACE0-BC6DED054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8142304"/>
        <c:axId val="375296848"/>
      </c:barChart>
      <c:catAx>
        <c:axId val="37814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96848"/>
        <c:crosses val="autoZero"/>
        <c:auto val="1"/>
        <c:lblAlgn val="ctr"/>
        <c:lblOffset val="100"/>
        <c:noMultiLvlLbl val="0"/>
      </c:catAx>
      <c:valAx>
        <c:axId val="37529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14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Correlation Value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'Ans. Q8'!$E$7</c:f>
              <c:strCache>
                <c:ptCount val="1"/>
                <c:pt idx="0">
                  <c:v>Correlation Value</c:v>
                </c:pt>
              </c:strCache>
            </c:strRef>
          </c:cat>
          <c:val>
            <c:numRef>
              <c:f>'Ans. Q8'!$F$7</c:f>
              <c:numCache>
                <c:formatCode>0.0000</c:formatCode>
                <c:ptCount val="1"/>
                <c:pt idx="0">
                  <c:v>4.3789646198615521E-2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9E-41A4-8B9A-66A6FBBB7DC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47"/>
        <c:overlap val="-48"/>
        <c:axId val="1156725744"/>
        <c:axId val="1160353680"/>
      </c:barChart>
      <c:catAx>
        <c:axId val="115672574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160353680"/>
        <c:crosses val="autoZero"/>
        <c:auto val="1"/>
        <c:lblAlgn val="ctr"/>
        <c:lblOffset val="100"/>
        <c:noMultiLvlLbl val="0"/>
      </c:catAx>
      <c:valAx>
        <c:axId val="1160353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72574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[Tourist Spots data Bangladesh.xlsm]Ans. Q9!PivotTable8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6757088647290846"/>
          <c:y val="0.32853070147875474"/>
          <c:w val="0.81996301438294528"/>
          <c:h val="0.42962773472763072"/>
        </c:manualLayout>
      </c:layout>
      <c:pie3DChart>
        <c:varyColors val="1"/>
        <c:ser>
          <c:idx val="0"/>
          <c:order val="0"/>
          <c:tx>
            <c:strRef>
              <c:f>'Ans. Q9'!$R$8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77-4F68-B092-AE18696F652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77-4F68-B092-AE18696F652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77-4F68-B092-AE18696F652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77-4F68-B092-AE18696F652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077-4F68-B092-AE18696F652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A077-4F68-B092-AE18696F652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A077-4F68-B092-AE18696F652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A077-4F68-B092-AE18696F652A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A077-4F68-B092-AE18696F652A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A077-4F68-B092-AE18696F652A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A077-4F68-B092-AE18696F652A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A077-4F68-B092-AE18696F652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A077-4F68-B092-AE18696F652A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A077-4F68-B092-AE18696F652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'Ans. Q9'!$Q$9:$Q$23</c:f>
              <c:strCache>
                <c:ptCount val="14"/>
                <c:pt idx="0">
                  <c:v>14</c:v>
                </c:pt>
                <c:pt idx="1">
                  <c:v>17</c:v>
                </c:pt>
                <c:pt idx="2">
                  <c:v>0</c:v>
                </c:pt>
                <c:pt idx="3">
                  <c:v>20</c:v>
                </c:pt>
                <c:pt idx="4">
                  <c:v>21</c:v>
                </c:pt>
                <c:pt idx="5">
                  <c:v>19</c:v>
                </c:pt>
                <c:pt idx="6">
                  <c:v>18</c:v>
                </c:pt>
                <c:pt idx="7">
                  <c:v>7</c:v>
                </c:pt>
                <c:pt idx="8">
                  <c:v>12</c:v>
                </c:pt>
                <c:pt idx="9">
                  <c:v>8</c:v>
                </c:pt>
                <c:pt idx="10">
                  <c:v>13</c:v>
                </c:pt>
                <c:pt idx="11">
                  <c:v>3</c:v>
                </c:pt>
                <c:pt idx="12">
                  <c:v>16</c:v>
                </c:pt>
                <c:pt idx="13">
                  <c:v>15</c:v>
                </c:pt>
              </c:strCache>
            </c:strRef>
          </c:cat>
          <c:val>
            <c:numRef>
              <c:f>'Ans. Q9'!$R$9:$R$23</c:f>
              <c:numCache>
                <c:formatCode>General</c:formatCode>
                <c:ptCount val="14"/>
                <c:pt idx="0">
                  <c:v>2000000</c:v>
                </c:pt>
                <c:pt idx="1">
                  <c:v>308000</c:v>
                </c:pt>
                <c:pt idx="2">
                  <c:v>288000</c:v>
                </c:pt>
                <c:pt idx="3">
                  <c:v>193500</c:v>
                </c:pt>
                <c:pt idx="4">
                  <c:v>107514</c:v>
                </c:pt>
                <c:pt idx="5">
                  <c:v>39000</c:v>
                </c:pt>
                <c:pt idx="6">
                  <c:v>37500</c:v>
                </c:pt>
                <c:pt idx="7">
                  <c:v>20000</c:v>
                </c:pt>
                <c:pt idx="8">
                  <c:v>10000</c:v>
                </c:pt>
                <c:pt idx="9">
                  <c:v>7000</c:v>
                </c:pt>
                <c:pt idx="10">
                  <c:v>5000</c:v>
                </c:pt>
                <c:pt idx="11">
                  <c:v>5000</c:v>
                </c:pt>
                <c:pt idx="12">
                  <c:v>4400</c:v>
                </c:pt>
                <c:pt idx="13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85-4F70-A189-8D022ADE108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11</xdr:row>
      <xdr:rowOff>99060</xdr:rowOff>
    </xdr:from>
    <xdr:to>
      <xdr:col>13</xdr:col>
      <xdr:colOff>419100</xdr:colOff>
      <xdr:row>18</xdr:row>
      <xdr:rowOff>7620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B61011B-D4F5-4944-8FA2-225018F863B5}"/>
            </a:ext>
          </a:extLst>
        </xdr:cNvPr>
        <xdr:cNvSpPr/>
      </xdr:nvSpPr>
      <xdr:spPr>
        <a:xfrm>
          <a:off x="4617720" y="1775460"/>
          <a:ext cx="2141220" cy="975360"/>
        </a:xfrm>
        <a:prstGeom prst="roundRect">
          <a:avLst>
            <a:gd name="adj" fmla="val 2829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chemeClr val="accent4">
                  <a:lumMod val="60000"/>
                  <a:lumOff val="4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Clike 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471985</xdr:colOff>
      <xdr:row>4</xdr:row>
      <xdr:rowOff>129655</xdr:rowOff>
    </xdr:from>
    <xdr:to>
      <xdr:col>10</xdr:col>
      <xdr:colOff>261581</xdr:colOff>
      <xdr:row>27</xdr:row>
      <xdr:rowOff>142164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D4902A-6ABA-4EF8-A2D1-4C18501EF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160020</xdr:colOff>
      <xdr:row>1</xdr:row>
      <xdr:rowOff>148590</xdr:rowOff>
    </xdr:from>
    <xdr:to>
      <xdr:col>11</xdr:col>
      <xdr:colOff>114300</xdr:colOff>
      <xdr:row>20</xdr:row>
      <xdr:rowOff>121920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9EC7CA-7624-4425-8CD2-87724248C6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0</xdr:row>
      <xdr:rowOff>144780</xdr:rowOff>
    </xdr:from>
    <xdr:to>
      <xdr:col>12</xdr:col>
      <xdr:colOff>198120</xdr:colOff>
      <xdr:row>25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B16CE5-D8B4-4875-B2BA-1EB7AB5CEE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474870</xdr:colOff>
      <xdr:row>4</xdr:row>
      <xdr:rowOff>144119</xdr:rowOff>
    </xdr:from>
    <xdr:to>
      <xdr:col>21</xdr:col>
      <xdr:colOff>221603</xdr:colOff>
      <xdr:row>22</xdr:row>
      <xdr:rowOff>104362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6892C53-8368-474D-986D-BC78A94F88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31</xdr:row>
      <xdr:rowOff>76200</xdr:rowOff>
    </xdr:from>
    <xdr:to>
      <xdr:col>17</xdr:col>
      <xdr:colOff>355600</xdr:colOff>
      <xdr:row>49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C56CE77-3B44-428A-BEF3-2F5FE6C119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</xdr:colOff>
      <xdr:row>2</xdr:row>
      <xdr:rowOff>194310</xdr:rowOff>
    </xdr:from>
    <xdr:to>
      <xdr:col>6</xdr:col>
      <xdr:colOff>1741170</xdr:colOff>
      <xdr:row>20</xdr:row>
      <xdr:rowOff>118110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DD8D932-CB2C-4FB5-B7A6-7A0BA57540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36615</xdr:colOff>
      <xdr:row>7</xdr:row>
      <xdr:rowOff>141099</xdr:rowOff>
    </xdr:from>
    <xdr:to>
      <xdr:col>12</xdr:col>
      <xdr:colOff>341415</xdr:colOff>
      <xdr:row>25</xdr:row>
      <xdr:rowOff>141099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72D03C-5E81-42E7-8361-80DC11E3CB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10297</xdr:colOff>
      <xdr:row>27</xdr:row>
      <xdr:rowOff>49568</xdr:rowOff>
    </xdr:from>
    <xdr:to>
      <xdr:col>19</xdr:col>
      <xdr:colOff>30892</xdr:colOff>
      <xdr:row>43</xdr:row>
      <xdr:rowOff>149466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59B32A-B719-4BE7-9ED2-86D277DB20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681.823790972223" createdVersion="6" refreshedVersion="6" minRefreshableVersion="3" recordCount="120" xr:uid="{B96545F0-C3C2-4EBA-9FF6-E2CDC090C940}">
  <cacheSource type="worksheet">
    <worksheetSource ref="A1:N121" sheet="Data Shet"/>
  </cacheSource>
  <cacheFields count="17">
    <cacheField name="Tourist Spots" numFmtId="0">
      <sharedItems count="119">
        <s v="Kuakata Beach"/>
        <s v="Guava Market"/>
        <s v="Lalbagh Fort"/>
        <s v="Jhulonto Bridge"/>
        <s v="Sher-e-Bangla’s Home"/>
        <s v="Shuvalong Jhorna"/>
        <s v="Bell’s Park and Zoo"/>
        <s v="Rajshahi University Campus"/>
        <s v="Guthia Mosque"/>
        <s v="Chattogram War Cemetery"/>
        <s v="National Parliment House"/>
        <s v="Central Shaheed minar"/>
        <s v="Curzon Hall"/>
        <s v="National Martyrs’ Memorial"/>
        <s v="Bangabandhu Memorial Museum"/>
        <s v="Baitul Mukarram National Mosque"/>
        <s v="Ahsan Manzil"/>
        <s v="Dhakeshwari National Temple"/>
        <s v="Sadarghat"/>
        <s v="Star Mosque"/>
        <s v="Armenian Church"/>
        <s v="Sonargaon, Panam City"/>
        <s v="Rajban Bihar"/>
        <s v="Puthia Rajbari"/>
        <s v="Saint Martin’s Island"/>
        <s v="Shankar Motth"/>
        <s v="Bibir Pukur"/>
        <s v="Tanguar Haor"/>
        <s v="Kantajew Temple"/>
        <s v="The Holy Shrine of Hazrat Shahjalal (R)"/>
        <s v="Ratargul Swamp Forest"/>
        <s v="Madhabkunda Waterfall"/>
        <s v="Hazachora Waterfalls"/>
        <s v="Shoshi Lodge"/>
        <s v="Shalban bihar"/>
        <s v="National Zoo"/>
        <s v="Suhrawardy Udyan"/>
        <s v="The Holy Shrine of Hazrat Shaporan (R)"/>
        <s v="Horin pala Eco park"/>
        <s v="Zainul Abedin Museum"/>
        <s v="Tea Garden"/>
        <s v="Kuakata Eco Park"/>
        <s v="Rupsa Bridge"/>
        <s v="Bibichini Shahi Mosque"/>
        <s v="Bangladesh Folk Art &amp; Crafts Foundation"/>
        <s v="kurmitola golf club"/>
        <s v="Cox's Bazar Marin drive"/>
        <s v="Tengragiri Ecopark"/>
        <s v="Uttara Ganabhaban"/>
        <s v="Nilgiri Tourist Center"/>
        <s v="Keokradong"/>
        <s v="Boga Lake"/>
        <s v="Nilachal"/>
        <s v="Chimbuk Hill"/>
        <s v="Meghla Parjatan Complex"/>
        <s v="Debota Pahar"/>
        <s v="Sailapropat Jharna"/>
        <s v="Nafa-khum Waterfall"/>
        <s v="Buddha Dhatu Jadi"/>
        <s v="Amiakhum Waterfall"/>
        <s v="Jolsiri central Park"/>
        <s v="Bhawal National Park"/>
        <s v="Birsrestha Munshi Abdur Rauf Monument"/>
        <s v="Lawachara Rain Forest"/>
        <s v="Varendra Research Museum"/>
        <s v="Mahasthangarh"/>
        <s v="National Botanical Garden"/>
        <s v="Bagha Mosque"/>
        <s v="Paharpur Buddhist Monastery"/>
        <s v="Mymensingh Museum"/>
        <s v="Monpura Island"/>
        <s v="Royerkathi Jomidar Bari"/>
        <s v="Haringhata Forest Eco Park"/>
        <s v="Shuvo Shondha Beach"/>
        <s v="Nathpotty Lake"/>
        <s v="Buddhist Temple at Taltoli"/>
        <s v="Polwel Park"/>
        <s v="Bichanakandi"/>
        <s v="Happy Island"/>
        <s v="Kusumba Mosque"/>
        <s v="Sajek Valley"/>
        <s v="Kaptai Lake"/>
        <s v="Bhawal Resort and Spa"/>
        <s v="Durga Sagar"/>
        <s v="Comillar Jogonnath Mondir"/>
        <s v="Inani Beach"/>
        <s v="Komlok Waterfalls"/>
        <s v="Muppochora Jhorna"/>
        <s v="Lake View Island"/>
        <s v="Dhuppani Waterfall"/>
        <s v="Choto Sona Mosque"/>
        <s v="Nuhash Polli"/>
        <s v="Jaflong"/>
        <s v="Barguna Biskhali Rever"/>
        <s v="Bipin Park"/>
        <s v="Rabindro kuti bari"/>
        <s v="holiday resourt"/>
        <s v="Bangabandhu Safari Park"/>
        <s v="Ramna Park"/>
        <s v="Baldha Gardens"/>
        <s v="Ramgopalpur Zamindar House"/>
        <s v="Kpotakkho Nod"/>
        <s v="Liberation War Museum"/>
        <s v="Foy’s Lake Concord Amusement World"/>
        <s v="Alutila Cave"/>
        <s v="Matai Pukhiri"/>
        <s v="Horticulture Heritage Park"/>
        <s v="Mung Rajbari"/>
        <s v="Panchari Shantipur Aranya Kutir"/>
        <s v="Hatimatha Pahar"/>
        <s v="New Zealand Para"/>
        <s v="Risang Jhorna"/>
        <s v="Mayabini Lake"/>
        <s v="TAIDUCHARA WATERFALL"/>
        <s v="Kuakata Buddhist Temple"/>
        <s v="Manpura Island"/>
        <s v="Bir Shreshtha Mostafa Kamal Memorial Museum"/>
        <s v="Jacob Tower"/>
        <s v="Shaheed A.H.M. Kamaruzzaman Central Par"/>
      </sharedItems>
    </cacheField>
    <cacheField name="Location" numFmtId="0">
      <sharedItems count="31">
        <s v="Potuakhali"/>
        <s v="Jhalakati"/>
        <s v="Dhaka"/>
        <s v="Rangamati"/>
        <s v="Barishal"/>
        <s v="Rajshahi"/>
        <s v="Chattogram"/>
        <s v="Narayongong"/>
        <s v="Teknaf"/>
        <s v="Sylhet"/>
        <s v="Dinajpur"/>
        <s v="Moulvibazar"/>
        <s v="Mymensingh"/>
        <s v="Comilla"/>
        <s v="Pirojpur"/>
        <s v="Srimangal"/>
        <s v="Khulna"/>
        <s v="Barguna"/>
        <s v="Cox's Bazar"/>
        <s v="Bandarban"/>
        <s v="Gazipur"/>
        <s v="Sreemangal"/>
        <s v="Bogra"/>
        <s v="Bhola"/>
        <s v="Patharghata"/>
        <s v="Amtoli"/>
        <s v="Naogaon"/>
        <s v="Chapai Nawabganj"/>
        <s v="Kustia"/>
        <s v="josor"/>
        <s v="Khagrachori"/>
      </sharedItems>
    </cacheField>
    <cacheField name="Divition" numFmtId="0">
      <sharedItems count="9">
        <s v="Barishal"/>
        <s v="Dhaka"/>
        <s v="Chittagong Hill Tracts (CHT)"/>
        <s v="Rajshahi"/>
        <s v="Chattogram"/>
        <s v="Sylhet"/>
        <s v="Rangpur"/>
        <s v="Mymensingh"/>
        <s v="Khulna"/>
      </sharedItems>
    </cacheField>
    <cacheField name="Ticket Price (Tk)" numFmtId="1">
      <sharedItems containsMixedTypes="1" containsNumber="1" containsInteger="1" minValue="0" maxValue="40000" count="18">
        <n v="0"/>
        <n v="20"/>
        <n v="80"/>
        <n v="5"/>
        <n v="40"/>
        <n v="10"/>
        <n v="15"/>
        <n v="100"/>
        <n v="30"/>
        <n v="50"/>
        <n v="40000"/>
        <s v="Free"/>
        <n v="230"/>
        <n v="200"/>
        <n v="12000"/>
        <n v="25"/>
        <n v="150"/>
        <n v="300"/>
      </sharedItems>
    </cacheField>
    <cacheField name="Car Parking" numFmtId="0">
      <sharedItems count="2">
        <s v="Yes"/>
        <s v="No"/>
      </sharedItems>
    </cacheField>
    <cacheField name="Accessible for Disabled" numFmtId="0">
      <sharedItems count="2">
        <s v="Yes"/>
        <s v="No"/>
      </sharedItems>
    </cacheField>
    <cacheField name="Opening Time" numFmtId="164">
      <sharedItems containsDate="1" containsMixedTypes="1" minDate="1899-12-30T05:00:00" maxDate="1900-01-24T00:00:00" count="14">
        <d v="1899-12-30T06:00:00"/>
        <d v="1899-12-30T08:00:00"/>
        <d v="1899-12-30T10:00:00"/>
        <d v="1899-12-30T09:00:00"/>
        <d v="1899-12-30T05:00:00"/>
        <d v="1899-12-30T07:00:00"/>
        <d v="1899-12-30T10:30:00"/>
        <d v="1900-01-23T00:00:00"/>
        <d v="1899-12-30T08:30:00"/>
        <s v="N/A"/>
        <d v="1899-12-30T06:30:00"/>
        <d v="1899-12-30T07:30:00"/>
        <d v="1899-12-30T14:00:00"/>
        <d v="1899-12-30T11:00:00"/>
      </sharedItems>
    </cacheField>
    <cacheField name="Closing Time" numFmtId="164">
      <sharedItems containsDate="1" containsMixedTypes="1" minDate="1899-12-30T16:00:00" maxDate="1899-12-30T21:00:00" count="9">
        <d v="1899-12-30T18:00:00"/>
        <d v="1899-12-30T17:00:00"/>
        <d v="1899-12-30T21:00:00"/>
        <d v="1899-12-30T20:00:00"/>
        <d v="1899-12-30T16:30:00"/>
        <d v="1899-12-30T16:00:00"/>
        <s v="N/A"/>
        <d v="1899-12-30T17:30:00"/>
        <d v="1899-12-30T19:00:00"/>
      </sharedItems>
    </cacheField>
    <cacheField name="Peak Seasion" numFmtId="0">
      <sharedItems count="5">
        <s v="Winter"/>
        <s v="Monsoon"/>
        <s v="Spring"/>
        <s v="All Seasion"/>
        <s v="Summer"/>
      </sharedItems>
    </cacheField>
    <cacheField name="Type" numFmtId="0">
      <sharedItems/>
    </cacheField>
    <cacheField name="Gov Revenue yearly (Tk)" numFmtId="3">
      <sharedItems containsSemiMixedTypes="0" containsString="0" containsNumber="1" containsInteger="1" minValue="100000" maxValue="100000000"/>
    </cacheField>
    <cacheField name="Dev Cost yearly (Tk)" numFmtId="3">
      <sharedItems containsSemiMixedTypes="0" containsString="0" containsNumber="1" containsInteger="1" minValue="50000" maxValue="50000000"/>
    </cacheField>
    <cacheField name="Monthly Avg. Visitors" numFmtId="3">
      <sharedItems containsSemiMixedTypes="0" containsString="0" containsNumber="1" containsInteger="1" minValue="400" maxValue="1000000"/>
    </cacheField>
    <cacheField name="Estabilishment" numFmtId="0">
      <sharedItems containsSemiMixedTypes="0" containsString="0" containsNumber="1" containsInteger="1" minValue="0" maxValue="2018"/>
    </cacheField>
    <cacheField name="Revenue/Cost Ratio" numFmtId="0" formula="'Gov Revenue yearly (Tk)'/'Dev Cost yearly (Tk)'" databaseField="0"/>
    <cacheField name="Field1" numFmtId="0" formula="CORREL('Dev Cost yearly (Tk)','Gov Revenue yearly (Tk)')" databaseField="0"/>
    <cacheField name="Correlation" numFmtId="0" formula="CORREL('Dev Cost yearly (Tk)','Gov Revenue yearly (Tk)')" databaseField="0"/>
  </cacheFields>
  <extLst>
    <ext xmlns:x14="http://schemas.microsoft.com/office/spreadsheetml/2009/9/main" uri="{725AE2AE-9491-48be-B2B4-4EB974FC3084}">
      <x14:pivotCacheDefinition pivotCacheId="56643215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681.905763888892" createdVersion="6" refreshedVersion="6" minRefreshableVersion="3" recordCount="120" xr:uid="{81D66512-55E3-4346-A0B7-F735C925E0A4}">
  <cacheSource type="worksheet">
    <worksheetSource ref="A5:O125" sheet="Ans. Q9"/>
  </cacheSource>
  <cacheFields count="15">
    <cacheField name="Tourist Spots" numFmtId="0">
      <sharedItems/>
    </cacheField>
    <cacheField name="Location" numFmtId="0">
      <sharedItems/>
    </cacheField>
    <cacheField name="Divition" numFmtId="0">
      <sharedItems/>
    </cacheField>
    <cacheField name="Ticket Price (Tk)" numFmtId="1">
      <sharedItems containsMixedTypes="1" containsNumber="1" containsInteger="1" minValue="0" maxValue="40000"/>
    </cacheField>
    <cacheField name="Car Parking" numFmtId="0">
      <sharedItems/>
    </cacheField>
    <cacheField name="Accessible for Disabled" numFmtId="0">
      <sharedItems/>
    </cacheField>
    <cacheField name="Opening Time" numFmtId="164">
      <sharedItems containsDate="1" containsMixedTypes="1" minDate="1899-12-30T05:00:00" maxDate="1900-01-24T00:00:00"/>
    </cacheField>
    <cacheField name="Closing Time" numFmtId="164">
      <sharedItems containsDate="1" containsMixedTypes="1" minDate="1899-12-30T16:00:00" maxDate="1899-12-30T21:00:00"/>
    </cacheField>
    <cacheField name="Peak Seasion" numFmtId="0">
      <sharedItems/>
    </cacheField>
    <cacheField name="Type" numFmtId="0">
      <sharedItems/>
    </cacheField>
    <cacheField name="Gov Revenue yearly (Tk)" numFmtId="3">
      <sharedItems containsSemiMixedTypes="0" containsString="0" containsNumber="1" containsInteger="1" minValue="100000" maxValue="100000000" count="14">
        <n v="100000000"/>
        <n v="3000000"/>
        <n v="5000000"/>
        <n v="3500000"/>
        <n v="10000000"/>
        <n v="20000000"/>
        <n v="2000000"/>
        <n v="50000000"/>
        <n v="40000000"/>
        <n v="30000000"/>
        <n v="4000000"/>
        <n v="8000000"/>
        <n v="1000000"/>
        <n v="100000"/>
      </sharedItems>
    </cacheField>
    <cacheField name="Dev Cost yearly (Tk)" numFmtId="3">
      <sharedItems containsSemiMixedTypes="0" containsString="0" containsNumber="1" containsInteger="1" minValue="50000" maxValue="50000000"/>
    </cacheField>
    <cacheField name="Monthly Avg. Visitors" numFmtId="3">
      <sharedItems containsSemiMixedTypes="0" containsString="0" containsNumber="1" containsInteger="1" minValue="400" maxValue="1000000"/>
    </cacheField>
    <cacheField name="Estabilishment" numFmtId="0">
      <sharedItems containsSemiMixedTypes="0" containsString="0" containsNumber="1" containsInteger="1" minValue="0" maxValue="2018"/>
    </cacheField>
    <cacheField name="Century" numFmtId="0">
      <sharedItems containsSemiMixedTypes="0" containsString="0" containsNumber="1" containsInteger="1" minValue="0" maxValue="21" count="14">
        <n v="0"/>
        <n v="20"/>
        <n v="17"/>
        <n v="19"/>
        <n v="21"/>
        <n v="12"/>
        <n v="18"/>
        <n v="13"/>
        <n v="14"/>
        <n v="7"/>
        <n v="3"/>
        <n v="16"/>
        <n v="8"/>
        <n v="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x v="0"/>
    <x v="0"/>
    <x v="0"/>
    <x v="0"/>
    <x v="0"/>
    <x v="0"/>
    <x v="0"/>
    <x v="0"/>
    <x v="0"/>
    <s v="Beaches and Islands"/>
    <n v="100000000"/>
    <n v="50000000"/>
    <n v="40000"/>
    <n v="0"/>
  </r>
  <r>
    <x v="1"/>
    <x v="1"/>
    <x v="0"/>
    <x v="0"/>
    <x v="0"/>
    <x v="1"/>
    <x v="1"/>
    <x v="1"/>
    <x v="1"/>
    <s v="Market"/>
    <n v="3000000"/>
    <n v="1000000"/>
    <n v="8000"/>
    <n v="1950"/>
  </r>
  <r>
    <x v="2"/>
    <x v="2"/>
    <x v="1"/>
    <x v="1"/>
    <x v="0"/>
    <x v="0"/>
    <x v="2"/>
    <x v="0"/>
    <x v="2"/>
    <s v="Historic Monuments and Structures"/>
    <n v="5000000"/>
    <n v="3000000"/>
    <n v="5000"/>
    <n v="1678"/>
  </r>
  <r>
    <x v="3"/>
    <x v="3"/>
    <x v="2"/>
    <x v="1"/>
    <x v="0"/>
    <x v="0"/>
    <x v="0"/>
    <x v="0"/>
    <x v="2"/>
    <s v="Historic Monuments and Structures"/>
    <n v="3000000"/>
    <n v="1000000"/>
    <n v="5000"/>
    <n v="1986"/>
  </r>
  <r>
    <x v="4"/>
    <x v="4"/>
    <x v="0"/>
    <x v="0"/>
    <x v="0"/>
    <x v="0"/>
    <x v="3"/>
    <x v="1"/>
    <x v="2"/>
    <s v="Historic Monuments and Structures"/>
    <n v="3500000"/>
    <n v="2000000"/>
    <n v="2000"/>
    <n v="0"/>
  </r>
  <r>
    <x v="5"/>
    <x v="3"/>
    <x v="2"/>
    <x v="1"/>
    <x v="0"/>
    <x v="0"/>
    <x v="0"/>
    <x v="0"/>
    <x v="1"/>
    <s v="Waterfall"/>
    <n v="10000000"/>
    <n v="5000000"/>
    <n v="3000"/>
    <n v="0"/>
  </r>
  <r>
    <x v="6"/>
    <x v="4"/>
    <x v="0"/>
    <x v="0"/>
    <x v="0"/>
    <x v="0"/>
    <x v="3"/>
    <x v="1"/>
    <x v="3"/>
    <s v="Entertainment and Picnic Spots"/>
    <n v="20000000"/>
    <n v="10000000"/>
    <n v="4000"/>
    <n v="1896"/>
  </r>
  <r>
    <x v="7"/>
    <x v="5"/>
    <x v="3"/>
    <x v="0"/>
    <x v="0"/>
    <x v="0"/>
    <x v="1"/>
    <x v="1"/>
    <x v="0"/>
    <s v="Historic Monuments and Structures"/>
    <n v="20000000"/>
    <n v="5000000"/>
    <n v="8000"/>
    <n v="1953"/>
  </r>
  <r>
    <x v="8"/>
    <x v="4"/>
    <x v="0"/>
    <x v="0"/>
    <x v="0"/>
    <x v="0"/>
    <x v="4"/>
    <x v="2"/>
    <x v="3"/>
    <s v="Religious and Historical Sites"/>
    <n v="2000000"/>
    <n v="1800000"/>
    <n v="5000"/>
    <n v="2003"/>
  </r>
  <r>
    <x v="9"/>
    <x v="6"/>
    <x v="4"/>
    <x v="2"/>
    <x v="1"/>
    <x v="1"/>
    <x v="5"/>
    <x v="1"/>
    <x v="3"/>
    <s v="Historic Monuments and Structures"/>
    <n v="50000000"/>
    <n v="30000000"/>
    <n v="12000"/>
    <n v="1939"/>
  </r>
  <r>
    <x v="10"/>
    <x v="2"/>
    <x v="1"/>
    <x v="0"/>
    <x v="0"/>
    <x v="0"/>
    <x v="1"/>
    <x v="3"/>
    <x v="2"/>
    <s v="Historic Monuments and Structures"/>
    <n v="10000000"/>
    <n v="5000000"/>
    <n v="5000"/>
    <n v="1973"/>
  </r>
  <r>
    <x v="11"/>
    <x v="2"/>
    <x v="1"/>
    <x v="0"/>
    <x v="0"/>
    <x v="0"/>
    <x v="1"/>
    <x v="3"/>
    <x v="2"/>
    <s v="Historic Monuments and Structures"/>
    <n v="20000000"/>
    <n v="10000000"/>
    <n v="5000"/>
    <n v="1956"/>
  </r>
  <r>
    <x v="12"/>
    <x v="2"/>
    <x v="1"/>
    <x v="0"/>
    <x v="0"/>
    <x v="0"/>
    <x v="1"/>
    <x v="3"/>
    <x v="2"/>
    <s v="Historic Monuments and Structures"/>
    <n v="50000000"/>
    <n v="30000000"/>
    <n v="2000"/>
    <n v="1904"/>
  </r>
  <r>
    <x v="13"/>
    <x v="2"/>
    <x v="1"/>
    <x v="0"/>
    <x v="0"/>
    <x v="1"/>
    <x v="1"/>
    <x v="0"/>
    <x v="0"/>
    <s v="Historic Monuments and Structures"/>
    <n v="10000000"/>
    <n v="5000000"/>
    <n v="3000"/>
    <n v="1982"/>
  </r>
  <r>
    <x v="14"/>
    <x v="2"/>
    <x v="1"/>
    <x v="3"/>
    <x v="0"/>
    <x v="1"/>
    <x v="2"/>
    <x v="1"/>
    <x v="4"/>
    <s v="Historic Monuments and Structures"/>
    <n v="10000000"/>
    <n v="5000000"/>
    <n v="4000"/>
    <n v="1981"/>
  </r>
  <r>
    <x v="15"/>
    <x v="2"/>
    <x v="1"/>
    <x v="0"/>
    <x v="0"/>
    <x v="1"/>
    <x v="2"/>
    <x v="1"/>
    <x v="4"/>
    <s v="Religious and Historical Sites"/>
    <n v="5000000"/>
    <n v="2000000"/>
    <n v="8000"/>
    <n v="1968"/>
  </r>
  <r>
    <x v="16"/>
    <x v="2"/>
    <x v="1"/>
    <x v="4"/>
    <x v="0"/>
    <x v="1"/>
    <x v="6"/>
    <x v="4"/>
    <x v="4"/>
    <s v="Historic Monuments and Structures"/>
    <n v="10000000"/>
    <n v="5000000"/>
    <n v="5000"/>
    <n v="1872"/>
  </r>
  <r>
    <x v="17"/>
    <x v="2"/>
    <x v="1"/>
    <x v="0"/>
    <x v="0"/>
    <x v="1"/>
    <x v="6"/>
    <x v="4"/>
    <x v="4"/>
    <s v="Religious and Historical Sites"/>
    <n v="10000000"/>
    <n v="5000000"/>
    <n v="10000"/>
    <n v="1200"/>
  </r>
  <r>
    <x v="18"/>
    <x v="2"/>
    <x v="1"/>
    <x v="5"/>
    <x v="0"/>
    <x v="1"/>
    <x v="6"/>
    <x v="3"/>
    <x v="2"/>
    <s v="Lakes and Rivers"/>
    <n v="10000000"/>
    <n v="5000000"/>
    <n v="300000"/>
    <n v="1700"/>
  </r>
  <r>
    <x v="19"/>
    <x v="2"/>
    <x v="1"/>
    <x v="0"/>
    <x v="0"/>
    <x v="1"/>
    <x v="6"/>
    <x v="3"/>
    <x v="2"/>
    <s v="Religious and Historical Sites"/>
    <n v="10000000"/>
    <n v="3000000"/>
    <n v="3500"/>
    <n v="1860"/>
  </r>
  <r>
    <x v="20"/>
    <x v="2"/>
    <x v="1"/>
    <x v="0"/>
    <x v="0"/>
    <x v="1"/>
    <x v="6"/>
    <x v="3"/>
    <x v="2"/>
    <s v="Religious and Historical Sites"/>
    <n v="2000000"/>
    <n v="1800000"/>
    <n v="2000"/>
    <n v="1781"/>
  </r>
  <r>
    <x v="21"/>
    <x v="7"/>
    <x v="1"/>
    <x v="6"/>
    <x v="0"/>
    <x v="0"/>
    <x v="6"/>
    <x v="3"/>
    <x v="2"/>
    <s v="Historic Monuments and Structures"/>
    <n v="5000000"/>
    <n v="1000000"/>
    <n v="5000"/>
    <n v="1300"/>
  </r>
  <r>
    <x v="22"/>
    <x v="3"/>
    <x v="2"/>
    <x v="0"/>
    <x v="0"/>
    <x v="0"/>
    <x v="0"/>
    <x v="0"/>
    <x v="4"/>
    <s v="Religious and Historical Sites"/>
    <n v="2000000"/>
    <n v="1500000"/>
    <n v="3000"/>
    <n v="1977"/>
  </r>
  <r>
    <x v="23"/>
    <x v="5"/>
    <x v="3"/>
    <x v="1"/>
    <x v="0"/>
    <x v="1"/>
    <x v="1"/>
    <x v="1"/>
    <x v="0"/>
    <s v="Historic Monuments and Structures"/>
    <n v="10000000"/>
    <n v="5000000"/>
    <n v="10000"/>
    <n v="1895"/>
  </r>
  <r>
    <x v="24"/>
    <x v="8"/>
    <x v="4"/>
    <x v="7"/>
    <x v="1"/>
    <x v="1"/>
    <x v="2"/>
    <x v="5"/>
    <x v="0"/>
    <s v="Beaches and Islands"/>
    <n v="50000000"/>
    <n v="20000000"/>
    <n v="15000"/>
    <n v="0"/>
  </r>
  <r>
    <x v="25"/>
    <x v="4"/>
    <x v="0"/>
    <x v="0"/>
    <x v="0"/>
    <x v="0"/>
    <x v="4"/>
    <x v="2"/>
    <x v="4"/>
    <s v="Religious and Historical Sites"/>
    <n v="3500000"/>
    <n v="2000000"/>
    <n v="2000"/>
    <n v="1910"/>
  </r>
  <r>
    <x v="26"/>
    <x v="4"/>
    <x v="0"/>
    <x v="0"/>
    <x v="0"/>
    <x v="0"/>
    <x v="3"/>
    <x v="1"/>
    <x v="3"/>
    <s v="Historic Monuments and Structures"/>
    <n v="10000000"/>
    <n v="5000000"/>
    <n v="1500"/>
    <n v="1908"/>
  </r>
  <r>
    <x v="27"/>
    <x v="9"/>
    <x v="5"/>
    <x v="8"/>
    <x v="1"/>
    <x v="1"/>
    <x v="1"/>
    <x v="1"/>
    <x v="1"/>
    <s v="Lakes and Rivers"/>
    <n v="40000000"/>
    <n v="20000000"/>
    <n v="20000"/>
    <n v="0"/>
  </r>
  <r>
    <x v="28"/>
    <x v="10"/>
    <x v="6"/>
    <x v="1"/>
    <x v="1"/>
    <x v="1"/>
    <x v="3"/>
    <x v="1"/>
    <x v="0"/>
    <s v="Religious and Historical Sites"/>
    <n v="10000000"/>
    <n v="5000000"/>
    <n v="12000"/>
    <n v="1722"/>
  </r>
  <r>
    <x v="29"/>
    <x v="9"/>
    <x v="5"/>
    <x v="0"/>
    <x v="0"/>
    <x v="1"/>
    <x v="7"/>
    <x v="6"/>
    <x v="0"/>
    <s v="Religious and Historical Sites"/>
    <n v="10000000"/>
    <n v="3000000"/>
    <n v="1000000"/>
    <n v="1346"/>
  </r>
  <r>
    <x v="30"/>
    <x v="9"/>
    <x v="5"/>
    <x v="9"/>
    <x v="1"/>
    <x v="1"/>
    <x v="1"/>
    <x v="1"/>
    <x v="1"/>
    <s v="Rainforests and Hills"/>
    <n v="30000000"/>
    <n v="10000000"/>
    <n v="10000"/>
    <n v="0"/>
  </r>
  <r>
    <x v="31"/>
    <x v="11"/>
    <x v="5"/>
    <x v="8"/>
    <x v="1"/>
    <x v="1"/>
    <x v="5"/>
    <x v="7"/>
    <x v="0"/>
    <s v="Waterfalls"/>
    <n v="20000000"/>
    <n v="10000000"/>
    <n v="12000"/>
    <n v="0"/>
  </r>
  <r>
    <x v="32"/>
    <x v="3"/>
    <x v="2"/>
    <x v="0"/>
    <x v="0"/>
    <x v="0"/>
    <x v="0"/>
    <x v="0"/>
    <x v="1"/>
    <s v="Waterfall"/>
    <n v="3500000"/>
    <n v="2000000"/>
    <n v="3000"/>
    <n v="0"/>
  </r>
  <r>
    <x v="33"/>
    <x v="12"/>
    <x v="7"/>
    <x v="6"/>
    <x v="0"/>
    <x v="1"/>
    <x v="2"/>
    <x v="1"/>
    <x v="4"/>
    <s v="Historic Monuments and Structures"/>
    <n v="10000000"/>
    <n v="5000000"/>
    <n v="8000"/>
    <n v="1905"/>
  </r>
  <r>
    <x v="34"/>
    <x v="13"/>
    <x v="4"/>
    <x v="5"/>
    <x v="0"/>
    <x v="0"/>
    <x v="1"/>
    <x v="1"/>
    <x v="0"/>
    <s v="Historic Monuments and Structures"/>
    <n v="20000000"/>
    <n v="10000000"/>
    <n v="20000"/>
    <n v="700"/>
  </r>
  <r>
    <x v="35"/>
    <x v="2"/>
    <x v="1"/>
    <x v="9"/>
    <x v="0"/>
    <x v="0"/>
    <x v="0"/>
    <x v="0"/>
    <x v="2"/>
    <s v="Entertainment and Picnic Spots"/>
    <n v="50000000"/>
    <n v="30000000"/>
    <n v="5000"/>
    <n v="1974"/>
  </r>
  <r>
    <x v="36"/>
    <x v="2"/>
    <x v="1"/>
    <x v="0"/>
    <x v="0"/>
    <x v="0"/>
    <x v="0"/>
    <x v="0"/>
    <x v="4"/>
    <s v="Entertainment and Picnic Spots"/>
    <n v="10000000"/>
    <n v="5000000"/>
    <n v="4000"/>
    <n v="0"/>
  </r>
  <r>
    <x v="37"/>
    <x v="9"/>
    <x v="5"/>
    <x v="1"/>
    <x v="1"/>
    <x v="1"/>
    <x v="7"/>
    <x v="6"/>
    <x v="0"/>
    <s v="Religious and Historical Sites"/>
    <n v="10000000"/>
    <n v="5000000"/>
    <n v="1000000"/>
    <n v="1380"/>
  </r>
  <r>
    <x v="38"/>
    <x v="14"/>
    <x v="0"/>
    <x v="8"/>
    <x v="0"/>
    <x v="0"/>
    <x v="3"/>
    <x v="1"/>
    <x v="4"/>
    <s v="Entertainment and Picnic Spots"/>
    <n v="5000000"/>
    <n v="2000000"/>
    <n v="2014"/>
    <n v="2014"/>
  </r>
  <r>
    <x v="39"/>
    <x v="12"/>
    <x v="7"/>
    <x v="4"/>
    <x v="1"/>
    <x v="1"/>
    <x v="8"/>
    <x v="1"/>
    <x v="3"/>
    <s v="Cultural and Historical Sites"/>
    <n v="10000000"/>
    <n v="5000000"/>
    <n v="8000"/>
    <n v="1975"/>
  </r>
  <r>
    <x v="40"/>
    <x v="15"/>
    <x v="5"/>
    <x v="9"/>
    <x v="1"/>
    <x v="1"/>
    <x v="5"/>
    <x v="1"/>
    <x v="0"/>
    <s v="Entertainment and Picnic Spots"/>
    <n v="10000000"/>
    <n v="5000000"/>
    <n v="10000"/>
    <n v="1856"/>
  </r>
  <r>
    <x v="41"/>
    <x v="0"/>
    <x v="0"/>
    <x v="1"/>
    <x v="0"/>
    <x v="0"/>
    <x v="0"/>
    <x v="0"/>
    <x v="2"/>
    <s v="Entertainment and Picnic Spots"/>
    <n v="10000000"/>
    <n v="5000000"/>
    <n v="5000"/>
    <n v="2005"/>
  </r>
  <r>
    <x v="42"/>
    <x v="16"/>
    <x v="8"/>
    <x v="0"/>
    <x v="0"/>
    <x v="1"/>
    <x v="9"/>
    <x v="6"/>
    <x v="3"/>
    <s v="Historic Monuments and Structures"/>
    <n v="10000000"/>
    <n v="3000000"/>
    <n v="20000"/>
    <n v="2005"/>
  </r>
  <r>
    <x v="43"/>
    <x v="17"/>
    <x v="0"/>
    <x v="0"/>
    <x v="0"/>
    <x v="0"/>
    <x v="4"/>
    <x v="2"/>
    <x v="3"/>
    <s v="Religious and Historical Sites"/>
    <n v="2000000"/>
    <n v="1800000"/>
    <n v="2000"/>
    <n v="1700"/>
  </r>
  <r>
    <x v="44"/>
    <x v="7"/>
    <x v="1"/>
    <x v="8"/>
    <x v="0"/>
    <x v="0"/>
    <x v="3"/>
    <x v="1"/>
    <x v="3"/>
    <s v="Cultural and Historical Sites"/>
    <n v="20000000"/>
    <n v="10000000"/>
    <n v="30000"/>
    <n v="1975"/>
  </r>
  <r>
    <x v="45"/>
    <x v="2"/>
    <x v="1"/>
    <x v="10"/>
    <x v="0"/>
    <x v="1"/>
    <x v="6"/>
    <x v="3"/>
    <x v="3"/>
    <s v="Entertainment and Picnic Spots"/>
    <n v="30000000"/>
    <n v="10000000"/>
    <n v="5000"/>
    <n v="1965"/>
  </r>
  <r>
    <x v="46"/>
    <x v="18"/>
    <x v="4"/>
    <x v="1"/>
    <x v="0"/>
    <x v="1"/>
    <x v="0"/>
    <x v="0"/>
    <x v="2"/>
    <s v="Beaches and Islands"/>
    <n v="50000000"/>
    <n v="30000000"/>
    <n v="25000"/>
    <n v="2017"/>
  </r>
  <r>
    <x v="47"/>
    <x v="17"/>
    <x v="0"/>
    <x v="0"/>
    <x v="0"/>
    <x v="0"/>
    <x v="0"/>
    <x v="0"/>
    <x v="4"/>
    <s v="Entertainment and Picnic Spots"/>
    <n v="2000000"/>
    <n v="1800000"/>
    <n v="5000"/>
    <n v="1967"/>
  </r>
  <r>
    <x v="48"/>
    <x v="5"/>
    <x v="3"/>
    <x v="1"/>
    <x v="1"/>
    <x v="1"/>
    <x v="5"/>
    <x v="1"/>
    <x v="1"/>
    <s v="Historic Monuments and Structures"/>
    <n v="2000000"/>
    <n v="1500000"/>
    <n v="12000"/>
    <n v="1734"/>
  </r>
  <r>
    <x v="49"/>
    <x v="19"/>
    <x v="2"/>
    <x v="9"/>
    <x v="0"/>
    <x v="0"/>
    <x v="0"/>
    <x v="0"/>
    <x v="0"/>
    <s v="Entertainment and Picnic Spots"/>
    <n v="2000000"/>
    <n v="1500000"/>
    <n v="5000"/>
    <n v="0"/>
  </r>
  <r>
    <x v="50"/>
    <x v="19"/>
    <x v="2"/>
    <x v="0"/>
    <x v="0"/>
    <x v="0"/>
    <x v="0"/>
    <x v="0"/>
    <x v="0"/>
    <s v="Entertainment and Picnic Spots"/>
    <n v="2000000"/>
    <n v="1800000"/>
    <n v="4000"/>
    <n v="0"/>
  </r>
  <r>
    <x v="51"/>
    <x v="19"/>
    <x v="2"/>
    <x v="9"/>
    <x v="0"/>
    <x v="0"/>
    <x v="0"/>
    <x v="0"/>
    <x v="4"/>
    <s v="Lakes and Rivers"/>
    <n v="20000000"/>
    <n v="10000000"/>
    <n v="15000"/>
    <n v="0"/>
  </r>
  <r>
    <x v="52"/>
    <x v="19"/>
    <x v="2"/>
    <x v="9"/>
    <x v="0"/>
    <x v="0"/>
    <x v="0"/>
    <x v="0"/>
    <x v="0"/>
    <s v="Entertainment and Picnic Spots"/>
    <n v="5000000"/>
    <n v="10000000"/>
    <n v="4000"/>
    <n v="0"/>
  </r>
  <r>
    <x v="53"/>
    <x v="19"/>
    <x v="2"/>
    <x v="0"/>
    <x v="0"/>
    <x v="0"/>
    <x v="0"/>
    <x v="0"/>
    <x v="0"/>
    <s v="Rainforests and Hills"/>
    <n v="3500000"/>
    <n v="2500000"/>
    <n v="4000"/>
    <n v="0"/>
  </r>
  <r>
    <x v="54"/>
    <x v="19"/>
    <x v="2"/>
    <x v="9"/>
    <x v="0"/>
    <x v="0"/>
    <x v="3"/>
    <x v="1"/>
    <x v="2"/>
    <s v="Entertainment and Picnic Spots"/>
    <n v="3500000"/>
    <n v="2000000"/>
    <n v="3000"/>
    <n v="0"/>
  </r>
  <r>
    <x v="55"/>
    <x v="19"/>
    <x v="2"/>
    <x v="0"/>
    <x v="0"/>
    <x v="0"/>
    <x v="0"/>
    <x v="0"/>
    <x v="2"/>
    <s v="Entertainment and Picnic Spots"/>
    <n v="4000000"/>
    <n v="2500000"/>
    <n v="3000"/>
    <n v="0"/>
  </r>
  <r>
    <x v="56"/>
    <x v="19"/>
    <x v="2"/>
    <x v="0"/>
    <x v="0"/>
    <x v="0"/>
    <x v="0"/>
    <x v="0"/>
    <x v="1"/>
    <s v="Waterfall"/>
    <n v="20000000"/>
    <n v="2000000"/>
    <n v="3000"/>
    <n v="0"/>
  </r>
  <r>
    <x v="57"/>
    <x v="19"/>
    <x v="2"/>
    <x v="0"/>
    <x v="0"/>
    <x v="0"/>
    <x v="0"/>
    <x v="0"/>
    <x v="1"/>
    <s v="Waterfall"/>
    <n v="4000000"/>
    <n v="4000000"/>
    <n v="3000"/>
    <n v="0"/>
  </r>
  <r>
    <x v="58"/>
    <x v="19"/>
    <x v="2"/>
    <x v="9"/>
    <x v="0"/>
    <x v="0"/>
    <x v="0"/>
    <x v="0"/>
    <x v="4"/>
    <s v="Religious and Historical Sites"/>
    <n v="5000000"/>
    <n v="4000000"/>
    <n v="3000"/>
    <n v="2000"/>
  </r>
  <r>
    <x v="59"/>
    <x v="19"/>
    <x v="2"/>
    <x v="11"/>
    <x v="0"/>
    <x v="0"/>
    <x v="0"/>
    <x v="0"/>
    <x v="1"/>
    <s v="Waterfall"/>
    <n v="3500000"/>
    <n v="2000000"/>
    <n v="3000"/>
    <n v="0"/>
  </r>
  <r>
    <x v="60"/>
    <x v="7"/>
    <x v="1"/>
    <x v="12"/>
    <x v="0"/>
    <x v="1"/>
    <x v="2"/>
    <x v="3"/>
    <x v="3"/>
    <s v="Entertainment and Picnic Spots"/>
    <n v="5000000"/>
    <n v="2000000"/>
    <n v="5000"/>
    <n v="2010"/>
  </r>
  <r>
    <x v="61"/>
    <x v="20"/>
    <x v="1"/>
    <x v="7"/>
    <x v="0"/>
    <x v="0"/>
    <x v="0"/>
    <x v="0"/>
    <x v="4"/>
    <s v="Rainforests and Hills"/>
    <n v="8000000"/>
    <n v="5000000"/>
    <n v="4000"/>
    <n v="1982"/>
  </r>
  <r>
    <x v="62"/>
    <x v="3"/>
    <x v="2"/>
    <x v="0"/>
    <x v="0"/>
    <x v="0"/>
    <x v="0"/>
    <x v="0"/>
    <x v="0"/>
    <s v="Historic Monuments and Structures"/>
    <n v="3500000"/>
    <n v="2000000"/>
    <n v="3000"/>
    <n v="2006"/>
  </r>
  <r>
    <x v="63"/>
    <x v="21"/>
    <x v="5"/>
    <x v="9"/>
    <x v="0"/>
    <x v="0"/>
    <x v="2"/>
    <x v="1"/>
    <x v="4"/>
    <s v="Rainforests and Hills"/>
    <n v="10000000"/>
    <n v="5000000"/>
    <n v="20000"/>
    <n v="1996"/>
  </r>
  <r>
    <x v="64"/>
    <x v="5"/>
    <x v="3"/>
    <x v="1"/>
    <x v="1"/>
    <x v="1"/>
    <x v="1"/>
    <x v="1"/>
    <x v="1"/>
    <s v="Cultural and Historical Sites"/>
    <n v="5000000"/>
    <n v="2500000"/>
    <n v="7000"/>
    <n v="1910"/>
  </r>
  <r>
    <x v="65"/>
    <x v="22"/>
    <x v="3"/>
    <x v="1"/>
    <x v="1"/>
    <x v="1"/>
    <x v="5"/>
    <x v="1"/>
    <x v="0"/>
    <s v="Historic Monuments and Structures"/>
    <n v="2000000"/>
    <n v="1500000"/>
    <n v="5000"/>
    <n v="300"/>
  </r>
  <r>
    <x v="66"/>
    <x v="2"/>
    <x v="1"/>
    <x v="7"/>
    <x v="0"/>
    <x v="0"/>
    <x v="0"/>
    <x v="0"/>
    <x v="4"/>
    <s v="Rainforests and Hills"/>
    <n v="50000000"/>
    <n v="30000000"/>
    <n v="3000"/>
    <n v="1961"/>
  </r>
  <r>
    <x v="67"/>
    <x v="5"/>
    <x v="3"/>
    <x v="11"/>
    <x v="1"/>
    <x v="1"/>
    <x v="0"/>
    <x v="1"/>
    <x v="1"/>
    <s v="Religious and Historical Sites"/>
    <n v="3000000"/>
    <n v="1000000"/>
    <n v="400"/>
    <n v="1523"/>
  </r>
  <r>
    <x v="68"/>
    <x v="22"/>
    <x v="3"/>
    <x v="1"/>
    <x v="0"/>
    <x v="0"/>
    <x v="1"/>
    <x v="1"/>
    <x v="0"/>
    <s v="Historic Monuments and Structures"/>
    <n v="5000000"/>
    <n v="2500000"/>
    <n v="7000"/>
    <n v="800"/>
  </r>
  <r>
    <x v="69"/>
    <x v="12"/>
    <x v="7"/>
    <x v="6"/>
    <x v="0"/>
    <x v="0"/>
    <x v="3"/>
    <x v="1"/>
    <x v="3"/>
    <s v="Cultural and Historical Sites"/>
    <n v="4000000"/>
    <n v="2000000"/>
    <n v="6000"/>
    <n v="1969"/>
  </r>
  <r>
    <x v="70"/>
    <x v="23"/>
    <x v="0"/>
    <x v="0"/>
    <x v="0"/>
    <x v="0"/>
    <x v="0"/>
    <x v="0"/>
    <x v="4"/>
    <s v="Beaches and Islands"/>
    <n v="5000000"/>
    <n v="2000000"/>
    <n v="2500"/>
    <n v="0"/>
  </r>
  <r>
    <x v="71"/>
    <x v="14"/>
    <x v="0"/>
    <x v="0"/>
    <x v="0"/>
    <x v="0"/>
    <x v="3"/>
    <x v="1"/>
    <x v="2"/>
    <s v="Cultural and Historical Sites"/>
    <n v="10000000"/>
    <n v="5000000"/>
    <n v="1000"/>
    <n v="1658"/>
  </r>
  <r>
    <x v="72"/>
    <x v="24"/>
    <x v="0"/>
    <x v="1"/>
    <x v="0"/>
    <x v="0"/>
    <x v="0"/>
    <x v="0"/>
    <x v="4"/>
    <s v="Entertainment and Picnic Spots"/>
    <n v="10000000"/>
    <n v="5000000"/>
    <n v="3000"/>
    <n v="0"/>
  </r>
  <r>
    <x v="73"/>
    <x v="17"/>
    <x v="0"/>
    <x v="0"/>
    <x v="0"/>
    <x v="0"/>
    <x v="0"/>
    <x v="0"/>
    <x v="2"/>
    <s v="Beaches and Islands"/>
    <n v="10000000"/>
    <n v="5000000"/>
    <n v="3500"/>
    <n v="0"/>
  </r>
  <r>
    <x v="74"/>
    <x v="24"/>
    <x v="0"/>
    <x v="0"/>
    <x v="0"/>
    <x v="0"/>
    <x v="0"/>
    <x v="0"/>
    <x v="3"/>
    <s v="Lakes and Rivers"/>
    <n v="3500000"/>
    <n v="1500000"/>
    <n v="2000"/>
    <n v="2016"/>
  </r>
  <r>
    <x v="75"/>
    <x v="25"/>
    <x v="0"/>
    <x v="6"/>
    <x v="0"/>
    <x v="0"/>
    <x v="0"/>
    <x v="0"/>
    <x v="3"/>
    <s v="Religious and Historical Sites"/>
    <n v="3500000"/>
    <n v="2000000"/>
    <n v="1500"/>
    <n v="1790"/>
  </r>
  <r>
    <x v="72"/>
    <x v="24"/>
    <x v="0"/>
    <x v="1"/>
    <x v="0"/>
    <x v="0"/>
    <x v="0"/>
    <x v="0"/>
    <x v="4"/>
    <s v="Entertainment and Picnic Spots"/>
    <n v="4000000"/>
    <n v="2000000"/>
    <n v="3000"/>
    <n v="0"/>
  </r>
  <r>
    <x v="76"/>
    <x v="3"/>
    <x v="2"/>
    <x v="8"/>
    <x v="0"/>
    <x v="0"/>
    <x v="0"/>
    <x v="0"/>
    <x v="3"/>
    <s v="Entertainment and Picnic Spots"/>
    <n v="5000000"/>
    <n v="2000000"/>
    <n v="3000"/>
    <n v="0"/>
  </r>
  <r>
    <x v="77"/>
    <x v="9"/>
    <x v="5"/>
    <x v="0"/>
    <x v="1"/>
    <x v="1"/>
    <x v="1"/>
    <x v="1"/>
    <x v="1"/>
    <s v="Entertainment and Picnic Spots"/>
    <n v="3500000"/>
    <n v="1500000"/>
    <n v="3000"/>
    <n v="0"/>
  </r>
  <r>
    <x v="78"/>
    <x v="3"/>
    <x v="2"/>
    <x v="13"/>
    <x v="0"/>
    <x v="0"/>
    <x v="0"/>
    <x v="0"/>
    <x v="2"/>
    <s v="Entertainment and Picnic Spots"/>
    <n v="3500000"/>
    <n v="2000000"/>
    <n v="3000"/>
    <n v="2018"/>
  </r>
  <r>
    <x v="79"/>
    <x v="26"/>
    <x v="3"/>
    <x v="0"/>
    <x v="1"/>
    <x v="1"/>
    <x v="5"/>
    <x v="1"/>
    <x v="1"/>
    <s v="Historic Monuments and Structures"/>
    <n v="4000000"/>
    <n v="2000000"/>
    <n v="4000"/>
    <n v="1559"/>
  </r>
  <r>
    <x v="80"/>
    <x v="3"/>
    <x v="2"/>
    <x v="0"/>
    <x v="0"/>
    <x v="0"/>
    <x v="0"/>
    <x v="0"/>
    <x v="0"/>
    <s v="Entertainment and Picnic Spots"/>
    <n v="20000000"/>
    <n v="10000000"/>
    <n v="30000"/>
    <n v="0"/>
  </r>
  <r>
    <x v="81"/>
    <x v="3"/>
    <x v="2"/>
    <x v="1"/>
    <x v="0"/>
    <x v="0"/>
    <x v="0"/>
    <x v="0"/>
    <x v="0"/>
    <s v="Lakes and Rivers"/>
    <n v="4000000"/>
    <n v="2500000"/>
    <n v="5000"/>
    <n v="1962"/>
  </r>
  <r>
    <x v="82"/>
    <x v="20"/>
    <x v="1"/>
    <x v="14"/>
    <x v="0"/>
    <x v="0"/>
    <x v="0"/>
    <x v="0"/>
    <x v="3"/>
    <s v="Entertainment and Picnic Spots"/>
    <n v="5000000"/>
    <n v="2000000"/>
    <n v="1000"/>
    <n v="2016"/>
  </r>
  <r>
    <x v="83"/>
    <x v="4"/>
    <x v="0"/>
    <x v="1"/>
    <x v="0"/>
    <x v="0"/>
    <x v="4"/>
    <x v="2"/>
    <x v="4"/>
    <s v="Lakes and Rivers"/>
    <n v="1000000"/>
    <n v="50000"/>
    <n v="3000"/>
    <n v="1780"/>
  </r>
  <r>
    <x v="84"/>
    <x v="13"/>
    <x v="4"/>
    <x v="15"/>
    <x v="1"/>
    <x v="1"/>
    <x v="5"/>
    <x v="1"/>
    <x v="3"/>
    <s v="Historic Monuments and Structures"/>
    <n v="4000000"/>
    <n v="2000000"/>
    <n v="5000"/>
    <n v="1761"/>
  </r>
  <r>
    <x v="85"/>
    <x v="18"/>
    <x v="4"/>
    <x v="9"/>
    <x v="0"/>
    <x v="1"/>
    <x v="0"/>
    <x v="3"/>
    <x v="0"/>
    <s v="Beaches and Islands"/>
    <n v="8000000"/>
    <n v="4000000"/>
    <n v="25000"/>
    <n v="0"/>
  </r>
  <r>
    <x v="86"/>
    <x v="3"/>
    <x v="2"/>
    <x v="0"/>
    <x v="0"/>
    <x v="0"/>
    <x v="0"/>
    <x v="0"/>
    <x v="1"/>
    <s v="Waterfall"/>
    <n v="5000000"/>
    <n v="4000000"/>
    <n v="3000"/>
    <n v="0"/>
  </r>
  <r>
    <x v="87"/>
    <x v="3"/>
    <x v="2"/>
    <x v="0"/>
    <x v="0"/>
    <x v="0"/>
    <x v="0"/>
    <x v="0"/>
    <x v="1"/>
    <s v="Waterfall"/>
    <n v="2000000"/>
    <n v="1600000"/>
    <n v="3000"/>
    <n v="0"/>
  </r>
  <r>
    <x v="88"/>
    <x v="3"/>
    <x v="2"/>
    <x v="16"/>
    <x v="0"/>
    <x v="0"/>
    <x v="0"/>
    <x v="0"/>
    <x v="2"/>
    <s v="Lakes and Rivers"/>
    <n v="2000000"/>
    <n v="1800000"/>
    <n v="3000"/>
    <n v="2017"/>
  </r>
  <r>
    <x v="89"/>
    <x v="3"/>
    <x v="2"/>
    <x v="0"/>
    <x v="0"/>
    <x v="0"/>
    <x v="0"/>
    <x v="0"/>
    <x v="1"/>
    <s v="Waterfall"/>
    <n v="2000000"/>
    <n v="1000000"/>
    <n v="3000"/>
    <n v="2000"/>
  </r>
  <r>
    <x v="90"/>
    <x v="27"/>
    <x v="3"/>
    <x v="0"/>
    <x v="1"/>
    <x v="1"/>
    <x v="1"/>
    <x v="1"/>
    <x v="0"/>
    <s v="Historic Monuments and Structures"/>
    <n v="3500000"/>
    <n v="1000000"/>
    <n v="4000"/>
    <n v="1500"/>
  </r>
  <r>
    <x v="91"/>
    <x v="20"/>
    <x v="1"/>
    <x v="13"/>
    <x v="0"/>
    <x v="0"/>
    <x v="0"/>
    <x v="0"/>
    <x v="2"/>
    <s v="Entertainment and Picnic Spots"/>
    <n v="1000000"/>
    <n v="50000"/>
    <n v="3000"/>
    <n v="1997"/>
  </r>
  <r>
    <x v="92"/>
    <x v="9"/>
    <x v="5"/>
    <x v="4"/>
    <x v="1"/>
    <x v="1"/>
    <x v="10"/>
    <x v="0"/>
    <x v="0"/>
    <s v="Lakes and Rivers"/>
    <n v="5000000"/>
    <n v="2000000"/>
    <n v="4000"/>
    <n v="0"/>
  </r>
  <r>
    <x v="93"/>
    <x v="17"/>
    <x v="0"/>
    <x v="8"/>
    <x v="1"/>
    <x v="1"/>
    <x v="5"/>
    <x v="1"/>
    <x v="2"/>
    <s v="Lakes and Rivers"/>
    <n v="2000000"/>
    <n v="500000"/>
    <n v="3000"/>
    <n v="0"/>
  </r>
  <r>
    <x v="94"/>
    <x v="12"/>
    <x v="7"/>
    <x v="0"/>
    <x v="1"/>
    <x v="1"/>
    <x v="11"/>
    <x v="1"/>
    <x v="3"/>
    <s v="Entertainment and Picnic Spots"/>
    <n v="2000000"/>
    <n v="1000000"/>
    <n v="5000"/>
    <n v="2013"/>
  </r>
  <r>
    <x v="95"/>
    <x v="28"/>
    <x v="8"/>
    <x v="6"/>
    <x v="0"/>
    <x v="0"/>
    <x v="12"/>
    <x v="1"/>
    <x v="2"/>
    <s v="Historic Monuments and Structures"/>
    <n v="2000000"/>
    <n v="1800000"/>
    <n v="5000"/>
    <n v="1889"/>
  </r>
  <r>
    <x v="96"/>
    <x v="3"/>
    <x v="2"/>
    <x v="9"/>
    <x v="0"/>
    <x v="1"/>
    <x v="8"/>
    <x v="7"/>
    <x v="0"/>
    <s v="Entertainment and Picnic Spots"/>
    <n v="5000000"/>
    <n v="2000000"/>
    <n v="4000"/>
    <n v="0"/>
  </r>
  <r>
    <x v="97"/>
    <x v="20"/>
    <x v="1"/>
    <x v="9"/>
    <x v="0"/>
    <x v="0"/>
    <x v="13"/>
    <x v="8"/>
    <x v="2"/>
    <s v="Entertainment and Picnic Spots"/>
    <n v="2000000"/>
    <n v="1600000"/>
    <n v="5000"/>
    <n v="2011"/>
  </r>
  <r>
    <x v="98"/>
    <x v="2"/>
    <x v="1"/>
    <x v="0"/>
    <x v="0"/>
    <x v="0"/>
    <x v="0"/>
    <x v="0"/>
    <x v="2"/>
    <s v="Entertainment and Picnic Spots"/>
    <n v="2000000"/>
    <n v="1800000"/>
    <n v="7000"/>
    <n v="0"/>
  </r>
  <r>
    <x v="99"/>
    <x v="2"/>
    <x v="1"/>
    <x v="5"/>
    <x v="0"/>
    <x v="0"/>
    <x v="3"/>
    <x v="1"/>
    <x v="4"/>
    <s v="Rainforests and Hills"/>
    <n v="2000000"/>
    <n v="1000000"/>
    <n v="3000"/>
    <n v="1909"/>
  </r>
  <r>
    <x v="100"/>
    <x v="12"/>
    <x v="7"/>
    <x v="0"/>
    <x v="1"/>
    <x v="0"/>
    <x v="1"/>
    <x v="1"/>
    <x v="4"/>
    <s v="Cultural and Historical Sites"/>
    <n v="3500000"/>
    <n v="1000000"/>
    <n v="2000"/>
    <n v="1800"/>
  </r>
  <r>
    <x v="101"/>
    <x v="29"/>
    <x v="8"/>
    <x v="0"/>
    <x v="1"/>
    <x v="1"/>
    <x v="8"/>
    <x v="7"/>
    <x v="1"/>
    <s v="Lakes and Rivers"/>
    <n v="3500000"/>
    <n v="1200000"/>
    <n v="2000"/>
    <n v="0"/>
  </r>
  <r>
    <x v="102"/>
    <x v="2"/>
    <x v="1"/>
    <x v="9"/>
    <x v="0"/>
    <x v="0"/>
    <x v="2"/>
    <x v="1"/>
    <x v="3"/>
    <s v="Historic Monuments and Structures"/>
    <n v="10000000"/>
    <n v="5000000"/>
    <n v="6000"/>
    <n v="1996"/>
  </r>
  <r>
    <x v="103"/>
    <x v="6"/>
    <x v="4"/>
    <x v="17"/>
    <x v="0"/>
    <x v="0"/>
    <x v="3"/>
    <x v="8"/>
    <x v="3"/>
    <s v="Lakes and Rivers"/>
    <n v="5000000"/>
    <n v="1000000"/>
    <n v="20000"/>
    <n v="2004"/>
  </r>
  <r>
    <x v="104"/>
    <x v="30"/>
    <x v="2"/>
    <x v="0"/>
    <x v="0"/>
    <x v="0"/>
    <x v="0"/>
    <x v="0"/>
    <x v="0"/>
    <s v="Entertainment and Picnic Spots"/>
    <n v="5000000"/>
    <n v="10000000"/>
    <n v="3000"/>
    <n v="0"/>
  </r>
  <r>
    <x v="105"/>
    <x v="30"/>
    <x v="2"/>
    <x v="0"/>
    <x v="0"/>
    <x v="0"/>
    <x v="0"/>
    <x v="0"/>
    <x v="4"/>
    <s v="Lakes and Rivers"/>
    <n v="5000000"/>
    <n v="10000000"/>
    <n v="3000"/>
    <n v="0"/>
  </r>
  <r>
    <x v="106"/>
    <x v="30"/>
    <x v="2"/>
    <x v="1"/>
    <x v="0"/>
    <x v="0"/>
    <x v="0"/>
    <x v="0"/>
    <x v="3"/>
    <s v="Entertainment and Picnic Spots"/>
    <n v="2000000"/>
    <n v="2500000"/>
    <n v="3000"/>
    <n v="0"/>
  </r>
  <r>
    <x v="107"/>
    <x v="30"/>
    <x v="2"/>
    <x v="0"/>
    <x v="0"/>
    <x v="0"/>
    <x v="0"/>
    <x v="0"/>
    <x v="2"/>
    <s v="Historic Monuments and Structures"/>
    <n v="5000000"/>
    <n v="2000000"/>
    <n v="3000"/>
    <n v="0"/>
  </r>
  <r>
    <x v="108"/>
    <x v="30"/>
    <x v="2"/>
    <x v="0"/>
    <x v="0"/>
    <x v="0"/>
    <x v="0"/>
    <x v="0"/>
    <x v="3"/>
    <s v="Rainforests and Hills"/>
    <n v="5000000"/>
    <n v="2500000"/>
    <n v="3000"/>
    <n v="0"/>
  </r>
  <r>
    <x v="109"/>
    <x v="30"/>
    <x v="2"/>
    <x v="0"/>
    <x v="0"/>
    <x v="0"/>
    <x v="0"/>
    <x v="0"/>
    <x v="0"/>
    <s v="Rainforests and Hills"/>
    <n v="5000000"/>
    <n v="2000000"/>
    <n v="3000"/>
    <n v="0"/>
  </r>
  <r>
    <x v="110"/>
    <x v="30"/>
    <x v="2"/>
    <x v="0"/>
    <x v="0"/>
    <x v="0"/>
    <x v="0"/>
    <x v="0"/>
    <x v="0"/>
    <s v="Entertainment and Picnic Spots"/>
    <n v="3000000"/>
    <n v="2000000"/>
    <n v="3000"/>
    <n v="0"/>
  </r>
  <r>
    <x v="111"/>
    <x v="30"/>
    <x v="2"/>
    <x v="0"/>
    <x v="0"/>
    <x v="0"/>
    <x v="0"/>
    <x v="0"/>
    <x v="1"/>
    <s v="Waterfall"/>
    <n v="5000000"/>
    <n v="4000000"/>
    <n v="3000"/>
    <n v="0"/>
  </r>
  <r>
    <x v="112"/>
    <x v="30"/>
    <x v="2"/>
    <x v="0"/>
    <x v="0"/>
    <x v="0"/>
    <x v="0"/>
    <x v="0"/>
    <x v="4"/>
    <s v="Lakes and Rivers"/>
    <n v="5000000"/>
    <n v="10000000"/>
    <n v="3000"/>
    <n v="0"/>
  </r>
  <r>
    <x v="113"/>
    <x v="30"/>
    <x v="2"/>
    <x v="0"/>
    <x v="0"/>
    <x v="0"/>
    <x v="0"/>
    <x v="0"/>
    <x v="1"/>
    <s v="Waterfall"/>
    <n v="2000000"/>
    <n v="2500000"/>
    <n v="3000"/>
    <n v="0"/>
  </r>
  <r>
    <x v="114"/>
    <x v="0"/>
    <x v="0"/>
    <x v="6"/>
    <x v="0"/>
    <x v="0"/>
    <x v="0"/>
    <x v="0"/>
    <x v="3"/>
    <s v="Religious and Historical Sites"/>
    <n v="100000"/>
    <n v="80000"/>
    <n v="1500"/>
    <n v="1820"/>
  </r>
  <r>
    <x v="115"/>
    <x v="23"/>
    <x v="0"/>
    <x v="0"/>
    <x v="0"/>
    <x v="0"/>
    <x v="0"/>
    <x v="0"/>
    <x v="2"/>
    <s v="Beaches and Islands"/>
    <n v="5000000"/>
    <n v="2000000"/>
    <n v="3000"/>
    <n v="0"/>
  </r>
  <r>
    <x v="116"/>
    <x v="23"/>
    <x v="0"/>
    <x v="0"/>
    <x v="0"/>
    <x v="0"/>
    <x v="2"/>
    <x v="1"/>
    <x v="3"/>
    <s v="Historic Monuments and Structures"/>
    <n v="5000000"/>
    <n v="2500000"/>
    <n v="1500"/>
    <n v="2008"/>
  </r>
  <r>
    <x v="117"/>
    <x v="23"/>
    <x v="0"/>
    <x v="7"/>
    <x v="0"/>
    <x v="0"/>
    <x v="0"/>
    <x v="0"/>
    <x v="3"/>
    <s v="Historic Monuments and Structures"/>
    <n v="5000000"/>
    <n v="3000000"/>
    <n v="2000"/>
    <n v="2013"/>
  </r>
  <r>
    <x v="118"/>
    <x v="5"/>
    <x v="3"/>
    <x v="15"/>
    <x v="0"/>
    <x v="0"/>
    <x v="0"/>
    <x v="0"/>
    <x v="3"/>
    <s v="Entertainment and Picnic Spots"/>
    <n v="10000000"/>
    <n v="5000000"/>
    <n v="3000"/>
    <n v="197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s v="Kuakata Beach"/>
    <s v="Potuakhali"/>
    <s v="Barishal"/>
    <n v="0"/>
    <s v="Yes"/>
    <s v="Yes"/>
    <d v="1899-12-30T06:00:00"/>
    <d v="1899-12-30T18:00:00"/>
    <s v="Winter"/>
    <s v="Beaches and Islands"/>
    <x v="0"/>
    <n v="50000000"/>
    <n v="40000"/>
    <n v="0"/>
    <x v="0"/>
  </r>
  <r>
    <s v="Guava Market"/>
    <s v="Jhalakati"/>
    <s v="Barishal"/>
    <n v="0"/>
    <s v="Yes"/>
    <s v="No"/>
    <d v="1899-12-30T08:00:00"/>
    <d v="1899-12-30T17:00:00"/>
    <s v="Monsoon"/>
    <s v="Market"/>
    <x v="1"/>
    <n v="1000000"/>
    <n v="8000"/>
    <n v="1950"/>
    <x v="1"/>
  </r>
  <r>
    <s v="Lalbagh Fort"/>
    <s v="Dhaka"/>
    <s v="Dhaka"/>
    <n v="20"/>
    <s v="Yes"/>
    <s v="Yes"/>
    <d v="1899-12-30T10:00:00"/>
    <d v="1899-12-30T18:00:00"/>
    <s v="Spring"/>
    <s v="Historic Monuments and Structures"/>
    <x v="2"/>
    <n v="3000000"/>
    <n v="5000"/>
    <n v="1678"/>
    <x v="2"/>
  </r>
  <r>
    <s v="Jhulonto Bridge"/>
    <s v="Rangamati"/>
    <s v="Chittagong Hill Tracts (CHT)"/>
    <n v="20"/>
    <s v="Yes"/>
    <s v="Yes"/>
    <d v="1899-12-30T06:00:00"/>
    <d v="1899-12-30T18:00:00"/>
    <s v="Spring"/>
    <s v="Historic Monuments and Structures"/>
    <x v="1"/>
    <n v="1000000"/>
    <n v="5000"/>
    <n v="1986"/>
    <x v="1"/>
  </r>
  <r>
    <s v="Sher-e-Bangla’s Home"/>
    <s v="Barishal"/>
    <s v="Barishal"/>
    <n v="0"/>
    <s v="Yes"/>
    <s v="Yes"/>
    <d v="1899-12-30T09:00:00"/>
    <d v="1899-12-30T17:00:00"/>
    <s v="Spring"/>
    <s v="Historic Monuments and Structures"/>
    <x v="3"/>
    <n v="2000000"/>
    <n v="2000"/>
    <n v="0"/>
    <x v="0"/>
  </r>
  <r>
    <s v="Shuvalong Jhorna"/>
    <s v="Rangamati"/>
    <s v="Chittagong Hill Tracts (CHT)"/>
    <n v="20"/>
    <s v="Yes"/>
    <s v="Yes"/>
    <d v="1899-12-30T06:00:00"/>
    <d v="1899-12-30T18:00:00"/>
    <s v="Monsoon"/>
    <s v="Waterfall"/>
    <x v="4"/>
    <n v="5000000"/>
    <n v="3000"/>
    <n v="0"/>
    <x v="0"/>
  </r>
  <r>
    <s v="Bell’s Park and Zoo"/>
    <s v="Barishal"/>
    <s v="Barishal"/>
    <n v="0"/>
    <s v="Yes"/>
    <s v="Yes"/>
    <d v="1899-12-30T09:00:00"/>
    <d v="1899-12-30T17:00:00"/>
    <s v="All Seasion"/>
    <s v="Entertainment and Picnic Spots"/>
    <x v="5"/>
    <n v="10000000"/>
    <n v="4000"/>
    <n v="1896"/>
    <x v="3"/>
  </r>
  <r>
    <s v="Rajshahi University Campus"/>
    <s v="Rajshahi"/>
    <s v="Rajshahi"/>
    <n v="0"/>
    <s v="Yes"/>
    <s v="Yes"/>
    <d v="1899-12-30T08:00:00"/>
    <d v="1899-12-30T17:00:00"/>
    <s v="Winter"/>
    <s v="Historic Monuments and Structures"/>
    <x v="5"/>
    <n v="5000000"/>
    <n v="8000"/>
    <n v="1953"/>
    <x v="1"/>
  </r>
  <r>
    <s v="Guthia Mosque"/>
    <s v="Barishal"/>
    <s v="Barishal"/>
    <n v="0"/>
    <s v="Yes"/>
    <s v="Yes"/>
    <d v="1899-12-30T05:00:00"/>
    <d v="1899-12-30T21:00:00"/>
    <s v="All Seasion"/>
    <s v="Religious and Historical Sites"/>
    <x v="6"/>
    <n v="1800000"/>
    <n v="5000"/>
    <n v="2003"/>
    <x v="4"/>
  </r>
  <r>
    <s v="Chattogram War Cemetery"/>
    <s v="Chattogram"/>
    <s v="Chattogram"/>
    <n v="80"/>
    <s v="No"/>
    <s v="No"/>
    <d v="1899-12-30T07:00:00"/>
    <d v="1899-12-30T17:00:00"/>
    <s v="All Seasion"/>
    <s v="Historic Monuments and Structures"/>
    <x v="7"/>
    <n v="30000000"/>
    <n v="12000"/>
    <n v="1939"/>
    <x v="1"/>
  </r>
  <r>
    <s v="National Parliment House"/>
    <s v="Dhaka"/>
    <s v="Dhaka"/>
    <n v="0"/>
    <s v="Yes"/>
    <s v="Yes"/>
    <d v="1899-12-30T08:00:00"/>
    <d v="1899-12-30T20:00:00"/>
    <s v="Spring"/>
    <s v="Historic Monuments and Structures"/>
    <x v="4"/>
    <n v="5000000"/>
    <n v="5000"/>
    <n v="1973"/>
    <x v="1"/>
  </r>
  <r>
    <s v="Central Shaheed minar"/>
    <s v="Dhaka"/>
    <s v="Dhaka"/>
    <n v="0"/>
    <s v="Yes"/>
    <s v="Yes"/>
    <d v="1899-12-30T08:00:00"/>
    <d v="1899-12-30T20:00:00"/>
    <s v="Spring"/>
    <s v="Historic Monuments and Structures"/>
    <x v="5"/>
    <n v="10000000"/>
    <n v="5000"/>
    <n v="1956"/>
    <x v="1"/>
  </r>
  <r>
    <s v="Curzon Hall"/>
    <s v="Dhaka"/>
    <s v="Dhaka"/>
    <n v="0"/>
    <s v="Yes"/>
    <s v="Yes"/>
    <d v="1899-12-30T08:00:00"/>
    <d v="1899-12-30T20:00:00"/>
    <s v="Spring"/>
    <s v="Historic Monuments and Structures"/>
    <x v="7"/>
    <n v="30000000"/>
    <n v="2000"/>
    <n v="1904"/>
    <x v="1"/>
  </r>
  <r>
    <s v="National Martyrs’ Memorial"/>
    <s v="Dhaka"/>
    <s v="Dhaka"/>
    <n v="0"/>
    <s v="Yes"/>
    <s v="No"/>
    <d v="1899-12-30T08:00:00"/>
    <d v="1899-12-30T18:00:00"/>
    <s v="Winter"/>
    <s v="Historic Monuments and Structures"/>
    <x v="4"/>
    <n v="5000000"/>
    <n v="3000"/>
    <n v="1982"/>
    <x v="1"/>
  </r>
  <r>
    <s v="Bangabandhu Memorial Museum"/>
    <s v="Dhaka"/>
    <s v="Dhaka"/>
    <n v="5"/>
    <s v="Yes"/>
    <s v="No"/>
    <d v="1899-12-30T10:00:00"/>
    <d v="1899-12-30T17:00:00"/>
    <s v="Summer"/>
    <s v="Historic Monuments and Structures"/>
    <x v="4"/>
    <n v="5000000"/>
    <n v="4000"/>
    <n v="1981"/>
    <x v="1"/>
  </r>
  <r>
    <s v="Baitul Mukarram National Mosque"/>
    <s v="Dhaka"/>
    <s v="Dhaka"/>
    <n v="0"/>
    <s v="Yes"/>
    <s v="No"/>
    <d v="1899-12-30T10:00:00"/>
    <d v="1899-12-30T17:00:00"/>
    <s v="Summer"/>
    <s v="Religious and Historical Sites"/>
    <x v="2"/>
    <n v="2000000"/>
    <n v="8000"/>
    <n v="1968"/>
    <x v="1"/>
  </r>
  <r>
    <s v="Ahsan Manzil"/>
    <s v="Dhaka"/>
    <s v="Dhaka"/>
    <n v="40"/>
    <s v="Yes"/>
    <s v="No"/>
    <d v="1899-12-30T10:30:00"/>
    <d v="1899-12-30T16:30:00"/>
    <s v="Summer"/>
    <s v="Historic Monuments and Structures"/>
    <x v="4"/>
    <n v="5000000"/>
    <n v="5000"/>
    <n v="1872"/>
    <x v="3"/>
  </r>
  <r>
    <s v="Dhakeshwari National Temple"/>
    <s v="Dhaka"/>
    <s v="Dhaka"/>
    <n v="0"/>
    <s v="Yes"/>
    <s v="No"/>
    <d v="1899-12-30T10:30:00"/>
    <d v="1899-12-30T16:30:00"/>
    <s v="Summer"/>
    <s v="Religious and Historical Sites"/>
    <x v="4"/>
    <n v="5000000"/>
    <n v="10000"/>
    <n v="1200"/>
    <x v="5"/>
  </r>
  <r>
    <s v="Sadarghat"/>
    <s v="Dhaka"/>
    <s v="Dhaka"/>
    <n v="10"/>
    <s v="Yes"/>
    <s v="No"/>
    <d v="1899-12-30T10:30:00"/>
    <d v="1899-12-30T20:00:00"/>
    <s v="Spring"/>
    <s v="Lakes and Rivers"/>
    <x v="4"/>
    <n v="5000000"/>
    <n v="300000"/>
    <n v="1700"/>
    <x v="2"/>
  </r>
  <r>
    <s v="Star Mosque"/>
    <s v="Dhaka"/>
    <s v="Dhaka"/>
    <n v="0"/>
    <s v="Yes"/>
    <s v="No"/>
    <d v="1899-12-30T10:30:00"/>
    <d v="1899-12-30T20:00:00"/>
    <s v="Spring"/>
    <s v="Religious and Historical Sites"/>
    <x v="4"/>
    <n v="3000000"/>
    <n v="3500"/>
    <n v="1860"/>
    <x v="3"/>
  </r>
  <r>
    <s v="Armenian Church"/>
    <s v="Dhaka"/>
    <s v="Dhaka"/>
    <n v="0"/>
    <s v="Yes"/>
    <s v="No"/>
    <d v="1899-12-30T10:30:00"/>
    <d v="1899-12-30T20:00:00"/>
    <s v="Spring"/>
    <s v="Religious and Historical Sites"/>
    <x v="6"/>
    <n v="1800000"/>
    <n v="2000"/>
    <n v="1781"/>
    <x v="6"/>
  </r>
  <r>
    <s v="Sonargaon, Panam City"/>
    <s v="Narayongong"/>
    <s v="Dhaka"/>
    <n v="15"/>
    <s v="Yes"/>
    <s v="Yes"/>
    <d v="1899-12-30T10:30:00"/>
    <d v="1899-12-30T20:00:00"/>
    <s v="Spring"/>
    <s v="Historic Monuments and Structures"/>
    <x v="2"/>
    <n v="1000000"/>
    <n v="5000"/>
    <n v="1300"/>
    <x v="7"/>
  </r>
  <r>
    <s v="Rajban Bihar"/>
    <s v="Rangamati"/>
    <s v="Chittagong Hill Tracts (CHT)"/>
    <n v="0"/>
    <s v="Yes"/>
    <s v="Yes"/>
    <d v="1899-12-30T06:00:00"/>
    <d v="1899-12-30T18:00:00"/>
    <s v="Summer"/>
    <s v="Religious and Historical Sites"/>
    <x v="6"/>
    <n v="1500000"/>
    <n v="3000"/>
    <n v="1977"/>
    <x v="1"/>
  </r>
  <r>
    <s v="Puthia Rajbari"/>
    <s v="Rajshahi"/>
    <s v="Rajshahi"/>
    <n v="20"/>
    <s v="Yes"/>
    <s v="No"/>
    <d v="1899-12-30T08:00:00"/>
    <d v="1899-12-30T17:00:00"/>
    <s v="Winter"/>
    <s v="Historic Monuments and Structures"/>
    <x v="4"/>
    <n v="5000000"/>
    <n v="10000"/>
    <n v="1895"/>
    <x v="3"/>
  </r>
  <r>
    <s v="Saint Martin’s Island"/>
    <s v="Teknaf"/>
    <s v="Chattogram"/>
    <n v="100"/>
    <s v="No"/>
    <s v="No"/>
    <d v="1899-12-30T10:00:00"/>
    <d v="1899-12-30T16:00:00"/>
    <s v="Winter"/>
    <s v="Beaches and Islands"/>
    <x v="7"/>
    <n v="20000000"/>
    <n v="15000"/>
    <n v="0"/>
    <x v="0"/>
  </r>
  <r>
    <s v="Shankar Motth"/>
    <s v="Barishal"/>
    <s v="Barishal"/>
    <n v="0"/>
    <s v="Yes"/>
    <s v="Yes"/>
    <d v="1899-12-30T05:00:00"/>
    <d v="1899-12-30T21:00:00"/>
    <s v="Summer"/>
    <s v="Religious and Historical Sites"/>
    <x v="3"/>
    <n v="2000000"/>
    <n v="2000"/>
    <n v="1910"/>
    <x v="1"/>
  </r>
  <r>
    <s v="Bibir Pukur"/>
    <s v="Barishal"/>
    <s v="Barishal"/>
    <n v="0"/>
    <s v="Yes"/>
    <s v="Yes"/>
    <d v="1899-12-30T09:00:00"/>
    <d v="1899-12-30T17:00:00"/>
    <s v="All Seasion"/>
    <s v="Historic Monuments and Structures"/>
    <x v="4"/>
    <n v="5000000"/>
    <n v="1500"/>
    <n v="1908"/>
    <x v="1"/>
  </r>
  <r>
    <s v="Tanguar Haor"/>
    <s v="Sylhet"/>
    <s v="Sylhet"/>
    <n v="30"/>
    <s v="No"/>
    <s v="No"/>
    <d v="1899-12-30T08:00:00"/>
    <d v="1899-12-30T17:00:00"/>
    <s v="Monsoon"/>
    <s v="Lakes and Rivers"/>
    <x v="8"/>
    <n v="20000000"/>
    <n v="20000"/>
    <n v="0"/>
    <x v="0"/>
  </r>
  <r>
    <s v="Kantajew Temple"/>
    <s v="Dinajpur"/>
    <s v="Rangpur"/>
    <n v="20"/>
    <s v="No"/>
    <s v="No"/>
    <d v="1899-12-30T09:00:00"/>
    <d v="1899-12-30T17:00:00"/>
    <s v="Winter"/>
    <s v="Religious and Historical Sites"/>
    <x v="4"/>
    <n v="5000000"/>
    <n v="12000"/>
    <n v="1722"/>
    <x v="6"/>
  </r>
  <r>
    <s v="The Holy Shrine of Hazrat Shahjalal (R)"/>
    <s v="Sylhet"/>
    <s v="Sylhet"/>
    <n v="0"/>
    <s v="Yes"/>
    <s v="No"/>
    <d v="1900-01-23T00:00:00"/>
    <s v="N/A"/>
    <s v="Winter"/>
    <s v="Religious and Historical Sites"/>
    <x v="4"/>
    <n v="3000000"/>
    <n v="1000000"/>
    <n v="1346"/>
    <x v="8"/>
  </r>
  <r>
    <s v="Ratargul Swamp Forest"/>
    <s v="Sylhet"/>
    <s v="Sylhet"/>
    <n v="50"/>
    <s v="No"/>
    <s v="No"/>
    <d v="1899-12-30T08:00:00"/>
    <d v="1899-12-30T17:00:00"/>
    <s v="Monsoon"/>
    <s v="Rainforests and Hills"/>
    <x v="9"/>
    <n v="10000000"/>
    <n v="10000"/>
    <n v="0"/>
    <x v="0"/>
  </r>
  <r>
    <s v="Madhabkunda Waterfall"/>
    <s v="Moulvibazar"/>
    <s v="Sylhet"/>
    <n v="30"/>
    <s v="No"/>
    <s v="No"/>
    <d v="1899-12-30T07:00:00"/>
    <d v="1899-12-30T17:30:00"/>
    <s v="Winter"/>
    <s v="Waterfalls"/>
    <x v="5"/>
    <n v="10000000"/>
    <n v="12000"/>
    <n v="0"/>
    <x v="0"/>
  </r>
  <r>
    <s v="Hazachora Waterfalls"/>
    <s v="Rangamati"/>
    <s v="Chittagong Hill Tracts (CHT)"/>
    <n v="0"/>
    <s v="Yes"/>
    <s v="Yes"/>
    <d v="1899-12-30T06:00:00"/>
    <d v="1899-12-30T18:00:00"/>
    <s v="Monsoon"/>
    <s v="Waterfall"/>
    <x v="3"/>
    <n v="2000000"/>
    <n v="3000"/>
    <n v="0"/>
    <x v="0"/>
  </r>
  <r>
    <s v="Shoshi Lodge"/>
    <s v="Mymensingh"/>
    <s v="Mymensingh"/>
    <n v="15"/>
    <s v="Yes"/>
    <s v="No"/>
    <d v="1899-12-30T10:00:00"/>
    <d v="1899-12-30T17:00:00"/>
    <s v="Summer"/>
    <s v="Historic Monuments and Structures"/>
    <x v="4"/>
    <n v="5000000"/>
    <n v="8000"/>
    <n v="1905"/>
    <x v="1"/>
  </r>
  <r>
    <s v="Shalban bihar"/>
    <s v="Comilla"/>
    <s v="Chattogram"/>
    <n v="10"/>
    <s v="Yes"/>
    <s v="Yes"/>
    <d v="1899-12-30T08:00:00"/>
    <d v="1899-12-30T17:00:00"/>
    <s v="Winter"/>
    <s v="Historic Monuments and Structures"/>
    <x v="5"/>
    <n v="10000000"/>
    <n v="20000"/>
    <n v="700"/>
    <x v="9"/>
  </r>
  <r>
    <s v="National Zoo"/>
    <s v="Dhaka"/>
    <s v="Dhaka"/>
    <n v="50"/>
    <s v="Yes"/>
    <s v="Yes"/>
    <d v="1899-12-30T06:00:00"/>
    <d v="1899-12-30T18:00:00"/>
    <s v="Spring"/>
    <s v="Entertainment and Picnic Spots"/>
    <x v="7"/>
    <n v="30000000"/>
    <n v="5000"/>
    <n v="1974"/>
    <x v="1"/>
  </r>
  <r>
    <s v="Suhrawardy Udyan"/>
    <s v="Dhaka"/>
    <s v="Dhaka"/>
    <n v="0"/>
    <s v="Yes"/>
    <s v="Yes"/>
    <d v="1899-12-30T06:00:00"/>
    <d v="1899-12-30T18:00:00"/>
    <s v="Summer"/>
    <s v="Entertainment and Picnic Spots"/>
    <x v="4"/>
    <n v="5000000"/>
    <n v="4000"/>
    <n v="0"/>
    <x v="0"/>
  </r>
  <r>
    <s v="The Holy Shrine of Hazrat Shaporan (R)"/>
    <s v="Sylhet"/>
    <s v="Sylhet"/>
    <n v="20"/>
    <s v="No"/>
    <s v="No"/>
    <d v="1900-01-23T00:00:00"/>
    <s v="N/A"/>
    <s v="Winter"/>
    <s v="Religious and Historical Sites"/>
    <x v="4"/>
    <n v="5000000"/>
    <n v="1000000"/>
    <n v="1380"/>
    <x v="8"/>
  </r>
  <r>
    <s v="Horin pala Eco park"/>
    <s v="Pirojpur"/>
    <s v="Barishal"/>
    <n v="30"/>
    <s v="Yes"/>
    <s v="Yes"/>
    <d v="1899-12-30T09:00:00"/>
    <d v="1899-12-30T17:00:00"/>
    <s v="Summer"/>
    <s v="Entertainment and Picnic Spots"/>
    <x v="2"/>
    <n v="2000000"/>
    <n v="2014"/>
    <n v="2014"/>
    <x v="4"/>
  </r>
  <r>
    <s v="Zainul Abedin Museum"/>
    <s v="Mymensingh"/>
    <s v="Mymensingh"/>
    <n v="40"/>
    <s v="No"/>
    <s v="No"/>
    <d v="1899-12-30T08:30:00"/>
    <d v="1899-12-30T17:00:00"/>
    <s v="All Seasion"/>
    <s v="Cultural and Historical Sites"/>
    <x v="4"/>
    <n v="5000000"/>
    <n v="8000"/>
    <n v="1975"/>
    <x v="1"/>
  </r>
  <r>
    <s v="Tea Garden"/>
    <s v="Srimangal"/>
    <s v="Sylhet"/>
    <n v="50"/>
    <s v="No"/>
    <s v="No"/>
    <d v="1899-12-30T07:00:00"/>
    <d v="1899-12-30T17:00:00"/>
    <s v="Winter"/>
    <s v="Entertainment and Picnic Spots"/>
    <x v="4"/>
    <n v="5000000"/>
    <n v="10000"/>
    <n v="1856"/>
    <x v="3"/>
  </r>
  <r>
    <s v="Kuakata Eco Park"/>
    <s v="Potuakhali"/>
    <s v="Barishal"/>
    <n v="20"/>
    <s v="Yes"/>
    <s v="Yes"/>
    <d v="1899-12-30T06:00:00"/>
    <d v="1899-12-30T18:00:00"/>
    <s v="Spring"/>
    <s v="Entertainment and Picnic Spots"/>
    <x v="4"/>
    <n v="5000000"/>
    <n v="5000"/>
    <n v="2005"/>
    <x v="4"/>
  </r>
  <r>
    <s v="Rupsa Bridge"/>
    <s v="Khulna"/>
    <s v="Khulna"/>
    <n v="0"/>
    <s v="Yes"/>
    <s v="No"/>
    <s v="N/A"/>
    <s v="N/A"/>
    <s v="All Seasion"/>
    <s v="Historic Monuments and Structures"/>
    <x v="4"/>
    <n v="3000000"/>
    <n v="20000"/>
    <n v="2005"/>
    <x v="4"/>
  </r>
  <r>
    <s v="Bibichini Shahi Mosque"/>
    <s v="Barguna"/>
    <s v="Barishal"/>
    <n v="0"/>
    <s v="Yes"/>
    <s v="Yes"/>
    <d v="1899-12-30T05:00:00"/>
    <d v="1899-12-30T21:00:00"/>
    <s v="All Seasion"/>
    <s v="Religious and Historical Sites"/>
    <x v="6"/>
    <n v="1800000"/>
    <n v="2000"/>
    <n v="1700"/>
    <x v="2"/>
  </r>
  <r>
    <s v="Bangladesh Folk Art &amp; Crafts Foundation"/>
    <s v="Narayongong"/>
    <s v="Dhaka"/>
    <n v="30"/>
    <s v="Yes"/>
    <s v="Yes"/>
    <d v="1899-12-30T09:00:00"/>
    <d v="1899-12-30T17:00:00"/>
    <s v="All Seasion"/>
    <s v="Cultural and Historical Sites"/>
    <x v="5"/>
    <n v="10000000"/>
    <n v="30000"/>
    <n v="1975"/>
    <x v="1"/>
  </r>
  <r>
    <s v="kurmitola golf club"/>
    <s v="Dhaka"/>
    <s v="Dhaka"/>
    <n v="40000"/>
    <s v="Yes"/>
    <s v="No"/>
    <d v="1899-12-30T10:30:00"/>
    <d v="1899-12-30T20:00:00"/>
    <s v="All Seasion"/>
    <s v="Entertainment and Picnic Spots"/>
    <x v="9"/>
    <n v="10000000"/>
    <n v="5000"/>
    <n v="1965"/>
    <x v="1"/>
  </r>
  <r>
    <s v="Cox's Bazar Marin drive"/>
    <s v="Cox's Bazar"/>
    <s v="Chattogram"/>
    <n v="20"/>
    <s v="Yes"/>
    <s v="No"/>
    <d v="1899-12-30T06:00:00"/>
    <d v="1899-12-30T18:00:00"/>
    <s v="Spring"/>
    <s v="Beaches and Islands"/>
    <x v="7"/>
    <n v="30000000"/>
    <n v="25000"/>
    <n v="2017"/>
    <x v="4"/>
  </r>
  <r>
    <s v="Tengragiri Ecopark"/>
    <s v="Barguna"/>
    <s v="Barishal"/>
    <n v="0"/>
    <s v="Yes"/>
    <s v="Yes"/>
    <d v="1899-12-30T06:00:00"/>
    <d v="1899-12-30T18:00:00"/>
    <s v="Summer"/>
    <s v="Entertainment and Picnic Spots"/>
    <x v="6"/>
    <n v="1800000"/>
    <n v="5000"/>
    <n v="1967"/>
    <x v="1"/>
  </r>
  <r>
    <s v="Uttara Ganabhaban"/>
    <s v="Rajshahi"/>
    <s v="Rajshahi"/>
    <n v="20"/>
    <s v="No"/>
    <s v="No"/>
    <d v="1899-12-30T07:00:00"/>
    <d v="1899-12-30T17:00:00"/>
    <s v="Monsoon"/>
    <s v="Historic Monuments and Structures"/>
    <x v="6"/>
    <n v="1500000"/>
    <n v="12000"/>
    <n v="1734"/>
    <x v="6"/>
  </r>
  <r>
    <s v="Nilgiri Tourist Center"/>
    <s v="Bandarban"/>
    <s v="Chittagong Hill Tracts (CHT)"/>
    <n v="50"/>
    <s v="Yes"/>
    <s v="Yes"/>
    <d v="1899-12-30T06:00:00"/>
    <d v="1899-12-30T18:00:00"/>
    <s v="Winter"/>
    <s v="Entertainment and Picnic Spots"/>
    <x v="6"/>
    <n v="1500000"/>
    <n v="5000"/>
    <n v="0"/>
    <x v="0"/>
  </r>
  <r>
    <s v="Keokradong"/>
    <s v="Bandarban"/>
    <s v="Chittagong Hill Tracts (CHT)"/>
    <n v="0"/>
    <s v="Yes"/>
    <s v="Yes"/>
    <d v="1899-12-30T06:00:00"/>
    <d v="1899-12-30T18:00:00"/>
    <s v="Winter"/>
    <s v="Entertainment and Picnic Spots"/>
    <x v="6"/>
    <n v="1800000"/>
    <n v="4000"/>
    <n v="0"/>
    <x v="0"/>
  </r>
  <r>
    <s v="Boga Lake"/>
    <s v="Bandarban"/>
    <s v="Chittagong Hill Tracts (CHT)"/>
    <n v="50"/>
    <s v="Yes"/>
    <s v="Yes"/>
    <d v="1899-12-30T06:00:00"/>
    <d v="1899-12-30T18:00:00"/>
    <s v="Summer"/>
    <s v="Lakes and Rivers"/>
    <x v="5"/>
    <n v="10000000"/>
    <n v="15000"/>
    <n v="0"/>
    <x v="0"/>
  </r>
  <r>
    <s v="Nilachal"/>
    <s v="Bandarban"/>
    <s v="Chittagong Hill Tracts (CHT)"/>
    <n v="50"/>
    <s v="Yes"/>
    <s v="Yes"/>
    <d v="1899-12-30T06:00:00"/>
    <d v="1899-12-30T18:00:00"/>
    <s v="Winter"/>
    <s v="Entertainment and Picnic Spots"/>
    <x v="2"/>
    <n v="10000000"/>
    <n v="4000"/>
    <n v="0"/>
    <x v="0"/>
  </r>
  <r>
    <s v="Chimbuk Hill"/>
    <s v="Bandarban"/>
    <s v="Chittagong Hill Tracts (CHT)"/>
    <n v="0"/>
    <s v="Yes"/>
    <s v="Yes"/>
    <d v="1899-12-30T06:00:00"/>
    <d v="1899-12-30T18:00:00"/>
    <s v="Winter"/>
    <s v="Rainforests and Hills"/>
    <x v="3"/>
    <n v="2500000"/>
    <n v="4000"/>
    <n v="0"/>
    <x v="0"/>
  </r>
  <r>
    <s v="Meghla Parjatan Complex"/>
    <s v="Bandarban"/>
    <s v="Chittagong Hill Tracts (CHT)"/>
    <n v="50"/>
    <s v="Yes"/>
    <s v="Yes"/>
    <d v="1899-12-30T09:00:00"/>
    <d v="1899-12-30T17:00:00"/>
    <s v="Spring"/>
    <s v="Entertainment and Picnic Spots"/>
    <x v="3"/>
    <n v="2000000"/>
    <n v="3000"/>
    <n v="0"/>
    <x v="0"/>
  </r>
  <r>
    <s v="Debota Pahar"/>
    <s v="Bandarban"/>
    <s v="Chittagong Hill Tracts (CHT)"/>
    <n v="0"/>
    <s v="Yes"/>
    <s v="Yes"/>
    <d v="1899-12-30T06:00:00"/>
    <d v="1899-12-30T18:00:00"/>
    <s v="Spring"/>
    <s v="Entertainment and Picnic Spots"/>
    <x v="10"/>
    <n v="2500000"/>
    <n v="3000"/>
    <n v="0"/>
    <x v="0"/>
  </r>
  <r>
    <s v="Sailapropat Jharna"/>
    <s v="Bandarban"/>
    <s v="Chittagong Hill Tracts (CHT)"/>
    <n v="0"/>
    <s v="Yes"/>
    <s v="Yes"/>
    <d v="1899-12-30T06:00:00"/>
    <d v="1899-12-30T18:00:00"/>
    <s v="Monsoon"/>
    <s v="Waterfall"/>
    <x v="5"/>
    <n v="2000000"/>
    <n v="3000"/>
    <n v="0"/>
    <x v="0"/>
  </r>
  <r>
    <s v="Nafa-khum Waterfall"/>
    <s v="Bandarban"/>
    <s v="Chittagong Hill Tracts (CHT)"/>
    <n v="0"/>
    <s v="Yes"/>
    <s v="Yes"/>
    <d v="1899-12-30T06:00:00"/>
    <d v="1899-12-30T18:00:00"/>
    <s v="Monsoon"/>
    <s v="Waterfall"/>
    <x v="10"/>
    <n v="4000000"/>
    <n v="3000"/>
    <n v="0"/>
    <x v="0"/>
  </r>
  <r>
    <s v="Buddha Dhatu Jadi"/>
    <s v="Bandarban"/>
    <s v="Chittagong Hill Tracts (CHT)"/>
    <n v="50"/>
    <s v="Yes"/>
    <s v="Yes"/>
    <d v="1899-12-30T06:00:00"/>
    <d v="1899-12-30T18:00:00"/>
    <s v="Summer"/>
    <s v="Religious and Historical Sites"/>
    <x v="2"/>
    <n v="4000000"/>
    <n v="3000"/>
    <n v="2000"/>
    <x v="1"/>
  </r>
  <r>
    <s v="Amiakhum Waterfall"/>
    <s v="Bandarban"/>
    <s v="Chittagong Hill Tracts (CHT)"/>
    <s v="Free"/>
    <s v="Yes"/>
    <s v="Yes"/>
    <d v="1899-12-30T06:00:00"/>
    <d v="1899-12-30T18:00:00"/>
    <s v="Monsoon"/>
    <s v="Waterfall"/>
    <x v="3"/>
    <n v="2000000"/>
    <n v="3000"/>
    <n v="0"/>
    <x v="0"/>
  </r>
  <r>
    <s v="Jolsiri central Park"/>
    <s v="Narayongong"/>
    <s v="Dhaka"/>
    <n v="230"/>
    <s v="Yes"/>
    <s v="No"/>
    <d v="1899-12-30T10:00:00"/>
    <d v="1899-12-30T20:00:00"/>
    <s v="All Seasion"/>
    <s v="Entertainment and Picnic Spots"/>
    <x v="2"/>
    <n v="2000000"/>
    <n v="5000"/>
    <n v="2010"/>
    <x v="4"/>
  </r>
  <r>
    <s v="Bhawal National Park"/>
    <s v="Gazipur"/>
    <s v="Dhaka"/>
    <n v="100"/>
    <s v="Yes"/>
    <s v="Yes"/>
    <d v="1899-12-30T06:00:00"/>
    <d v="1899-12-30T18:00:00"/>
    <s v="Summer"/>
    <s v="Rainforests and Hills"/>
    <x v="11"/>
    <n v="5000000"/>
    <n v="4000"/>
    <n v="1982"/>
    <x v="1"/>
  </r>
  <r>
    <s v="Birsrestha Munshi Abdur Rauf Monument"/>
    <s v="Rangamati"/>
    <s v="Chittagong Hill Tracts (CHT)"/>
    <n v="0"/>
    <s v="Yes"/>
    <s v="Yes"/>
    <d v="1899-12-30T06:00:00"/>
    <d v="1899-12-30T18:00:00"/>
    <s v="Winter"/>
    <s v="Historic Monuments and Structures"/>
    <x v="3"/>
    <n v="2000000"/>
    <n v="3000"/>
    <n v="2006"/>
    <x v="4"/>
  </r>
  <r>
    <s v="Lawachara Rain Forest"/>
    <s v="Sreemangal"/>
    <s v="Sylhet"/>
    <n v="50"/>
    <s v="Yes"/>
    <s v="Yes"/>
    <d v="1899-12-30T10:00:00"/>
    <d v="1899-12-30T17:00:00"/>
    <s v="Summer"/>
    <s v="Rainforests and Hills"/>
    <x v="4"/>
    <n v="5000000"/>
    <n v="20000"/>
    <n v="1996"/>
    <x v="1"/>
  </r>
  <r>
    <s v="Varendra Research Museum"/>
    <s v="Rajshahi"/>
    <s v="Rajshahi"/>
    <n v="20"/>
    <s v="No"/>
    <s v="No"/>
    <d v="1899-12-30T08:00:00"/>
    <d v="1899-12-30T17:00:00"/>
    <s v="Monsoon"/>
    <s v="Cultural and Historical Sites"/>
    <x v="2"/>
    <n v="2500000"/>
    <n v="7000"/>
    <n v="1910"/>
    <x v="1"/>
  </r>
  <r>
    <s v="Mahasthangarh"/>
    <s v="Bogra"/>
    <s v="Rajshahi"/>
    <n v="20"/>
    <s v="No"/>
    <s v="No"/>
    <d v="1899-12-30T07:00:00"/>
    <d v="1899-12-30T17:00:00"/>
    <s v="Winter"/>
    <s v="Historic Monuments and Structures"/>
    <x v="6"/>
    <n v="1500000"/>
    <n v="5000"/>
    <n v="300"/>
    <x v="10"/>
  </r>
  <r>
    <s v="National Botanical Garden"/>
    <s v="Dhaka"/>
    <s v="Dhaka"/>
    <n v="100"/>
    <s v="Yes"/>
    <s v="Yes"/>
    <d v="1899-12-30T06:00:00"/>
    <d v="1899-12-30T18:00:00"/>
    <s v="Summer"/>
    <s v="Rainforests and Hills"/>
    <x v="7"/>
    <n v="30000000"/>
    <n v="3000"/>
    <n v="1961"/>
    <x v="1"/>
  </r>
  <r>
    <s v="Bagha Mosque"/>
    <s v="Rajshahi"/>
    <s v="Rajshahi"/>
    <n v="0"/>
    <s v="No"/>
    <s v="No"/>
    <d v="1899-12-30T06:00:00"/>
    <d v="1899-12-30T17:00:00"/>
    <s v="Monsoon"/>
    <s v="Religious and Historical Sites"/>
    <x v="1"/>
    <n v="1000000"/>
    <n v="400"/>
    <n v="1523"/>
    <x v="11"/>
  </r>
  <r>
    <s v="Paharpur Buddhist Monastery"/>
    <s v="Bogra"/>
    <s v="Rajshahi"/>
    <n v="20"/>
    <s v="Yes"/>
    <s v="Yes"/>
    <d v="1899-12-30T08:00:00"/>
    <d v="1899-12-30T17:00:00"/>
    <s v="Winter"/>
    <s v="Historic Monuments and Structures"/>
    <x v="2"/>
    <n v="2500000"/>
    <n v="7000"/>
    <n v="800"/>
    <x v="12"/>
  </r>
  <r>
    <s v="Mymensingh Museum"/>
    <s v="Mymensingh"/>
    <s v="Mymensingh"/>
    <n v="15"/>
    <s v="Yes"/>
    <s v="Yes"/>
    <d v="1899-12-30T09:00:00"/>
    <d v="1899-12-30T17:00:00"/>
    <s v="All Seasion"/>
    <s v="Cultural and Historical Sites"/>
    <x v="10"/>
    <n v="2000000"/>
    <n v="6000"/>
    <n v="1969"/>
    <x v="1"/>
  </r>
  <r>
    <s v="Monpura Island"/>
    <s v="Bhola"/>
    <s v="Barishal"/>
    <n v="0"/>
    <s v="Yes"/>
    <s v="Yes"/>
    <d v="1899-12-30T06:00:00"/>
    <d v="1899-12-30T18:00:00"/>
    <s v="Summer"/>
    <s v="Beaches and Islands"/>
    <x v="2"/>
    <n v="2000000"/>
    <n v="2500"/>
    <n v="0"/>
    <x v="0"/>
  </r>
  <r>
    <s v="Royerkathi Jomidar Bari"/>
    <s v="Pirojpur"/>
    <s v="Barishal"/>
    <n v="0"/>
    <s v="Yes"/>
    <s v="Yes"/>
    <d v="1899-12-30T09:00:00"/>
    <d v="1899-12-30T17:00:00"/>
    <s v="Spring"/>
    <s v="Cultural and Historical Sites"/>
    <x v="4"/>
    <n v="5000000"/>
    <n v="1000"/>
    <n v="1658"/>
    <x v="2"/>
  </r>
  <r>
    <s v="Haringhata Forest Eco Park"/>
    <s v="Patharghata"/>
    <s v="Barishal"/>
    <n v="20"/>
    <s v="Yes"/>
    <s v="Yes"/>
    <d v="1899-12-30T06:00:00"/>
    <d v="1899-12-30T18:00:00"/>
    <s v="Summer"/>
    <s v="Entertainment and Picnic Spots"/>
    <x v="4"/>
    <n v="5000000"/>
    <n v="3000"/>
    <n v="0"/>
    <x v="0"/>
  </r>
  <r>
    <s v="Shuvo Shondha Beach"/>
    <s v="Barguna"/>
    <s v="Barishal"/>
    <n v="0"/>
    <s v="Yes"/>
    <s v="Yes"/>
    <d v="1899-12-30T06:00:00"/>
    <d v="1899-12-30T18:00:00"/>
    <s v="Spring"/>
    <s v="Beaches and Islands"/>
    <x v="4"/>
    <n v="5000000"/>
    <n v="3500"/>
    <n v="0"/>
    <x v="0"/>
  </r>
  <r>
    <s v="Nathpotty Lake"/>
    <s v="Patharghata"/>
    <s v="Barishal"/>
    <n v="0"/>
    <s v="Yes"/>
    <s v="Yes"/>
    <d v="1899-12-30T06:00:00"/>
    <d v="1899-12-30T18:00:00"/>
    <s v="All Seasion"/>
    <s v="Lakes and Rivers"/>
    <x v="3"/>
    <n v="1500000"/>
    <n v="2000"/>
    <n v="2016"/>
    <x v="4"/>
  </r>
  <r>
    <s v="Buddhist Temple at Taltoli"/>
    <s v="Amtoli"/>
    <s v="Barishal"/>
    <n v="15"/>
    <s v="Yes"/>
    <s v="Yes"/>
    <d v="1899-12-30T06:00:00"/>
    <d v="1899-12-30T18:00:00"/>
    <s v="All Seasion"/>
    <s v="Religious and Historical Sites"/>
    <x v="3"/>
    <n v="2000000"/>
    <n v="1500"/>
    <n v="1790"/>
    <x v="6"/>
  </r>
  <r>
    <s v="Haringhata Forest Eco Park"/>
    <s v="Patharghata"/>
    <s v="Barishal"/>
    <n v="20"/>
    <s v="Yes"/>
    <s v="Yes"/>
    <d v="1899-12-30T06:00:00"/>
    <d v="1899-12-30T18:00:00"/>
    <s v="Summer"/>
    <s v="Entertainment and Picnic Spots"/>
    <x v="10"/>
    <n v="2000000"/>
    <n v="3000"/>
    <n v="0"/>
    <x v="0"/>
  </r>
  <r>
    <s v="Polwel Park"/>
    <s v="Rangamati"/>
    <s v="Chittagong Hill Tracts (CHT)"/>
    <n v="30"/>
    <s v="Yes"/>
    <s v="Yes"/>
    <d v="1899-12-30T06:00:00"/>
    <d v="1899-12-30T18:00:00"/>
    <s v="All Seasion"/>
    <s v="Entertainment and Picnic Spots"/>
    <x v="2"/>
    <n v="2000000"/>
    <n v="3000"/>
    <n v="0"/>
    <x v="0"/>
  </r>
  <r>
    <s v="Bichanakandi"/>
    <s v="Sylhet"/>
    <s v="Sylhet"/>
    <n v="0"/>
    <s v="No"/>
    <s v="No"/>
    <d v="1899-12-30T08:00:00"/>
    <d v="1899-12-30T17:00:00"/>
    <s v="Monsoon"/>
    <s v="Entertainment and Picnic Spots"/>
    <x v="3"/>
    <n v="1500000"/>
    <n v="3000"/>
    <n v="0"/>
    <x v="0"/>
  </r>
  <r>
    <s v="Happy Island"/>
    <s v="Rangamati"/>
    <s v="Chittagong Hill Tracts (CHT)"/>
    <n v="200"/>
    <s v="Yes"/>
    <s v="Yes"/>
    <d v="1899-12-30T06:00:00"/>
    <d v="1899-12-30T18:00:00"/>
    <s v="Spring"/>
    <s v="Entertainment and Picnic Spots"/>
    <x v="3"/>
    <n v="2000000"/>
    <n v="3000"/>
    <n v="2018"/>
    <x v="4"/>
  </r>
  <r>
    <s v="Kusumba Mosque"/>
    <s v="Naogaon"/>
    <s v="Rajshahi"/>
    <n v="0"/>
    <s v="No"/>
    <s v="No"/>
    <d v="1899-12-30T07:00:00"/>
    <d v="1899-12-30T17:00:00"/>
    <s v="Monsoon"/>
    <s v="Historic Monuments and Structures"/>
    <x v="10"/>
    <n v="2000000"/>
    <n v="4000"/>
    <n v="1559"/>
    <x v="11"/>
  </r>
  <r>
    <s v="Sajek Valley"/>
    <s v="Rangamati"/>
    <s v="Chittagong Hill Tracts (CHT)"/>
    <n v="0"/>
    <s v="Yes"/>
    <s v="Yes"/>
    <d v="1899-12-30T06:00:00"/>
    <d v="1899-12-30T18:00:00"/>
    <s v="Winter"/>
    <s v="Entertainment and Picnic Spots"/>
    <x v="5"/>
    <n v="10000000"/>
    <n v="30000"/>
    <n v="0"/>
    <x v="0"/>
  </r>
  <r>
    <s v="Kaptai Lake"/>
    <s v="Rangamati"/>
    <s v="Chittagong Hill Tracts (CHT)"/>
    <n v="20"/>
    <s v="Yes"/>
    <s v="Yes"/>
    <d v="1899-12-30T06:00:00"/>
    <d v="1899-12-30T18:00:00"/>
    <s v="Winter"/>
    <s v="Lakes and Rivers"/>
    <x v="10"/>
    <n v="2500000"/>
    <n v="5000"/>
    <n v="1962"/>
    <x v="1"/>
  </r>
  <r>
    <s v="Bhawal Resort and Spa"/>
    <s v="Gazipur"/>
    <s v="Dhaka"/>
    <n v="12000"/>
    <s v="Yes"/>
    <s v="Yes"/>
    <d v="1899-12-30T06:00:00"/>
    <d v="1899-12-30T18:00:00"/>
    <s v="All Seasion"/>
    <s v="Entertainment and Picnic Spots"/>
    <x v="2"/>
    <n v="2000000"/>
    <n v="1000"/>
    <n v="2016"/>
    <x v="4"/>
  </r>
  <r>
    <s v="Durga Sagar"/>
    <s v="Barishal"/>
    <s v="Barishal"/>
    <n v="20"/>
    <s v="Yes"/>
    <s v="Yes"/>
    <d v="1899-12-30T05:00:00"/>
    <d v="1899-12-30T21:00:00"/>
    <s v="Summer"/>
    <s v="Lakes and Rivers"/>
    <x v="12"/>
    <n v="50000"/>
    <n v="3000"/>
    <n v="1780"/>
    <x v="6"/>
  </r>
  <r>
    <s v="Comillar Jogonnath Mondir"/>
    <s v="Comilla"/>
    <s v="Chattogram"/>
    <n v="25"/>
    <s v="No"/>
    <s v="No"/>
    <d v="1899-12-30T07:00:00"/>
    <d v="1899-12-30T17:00:00"/>
    <s v="All Seasion"/>
    <s v="Historic Monuments and Structures"/>
    <x v="10"/>
    <n v="2000000"/>
    <n v="5000"/>
    <n v="1761"/>
    <x v="6"/>
  </r>
  <r>
    <s v="Inani Beach"/>
    <s v="Cox's Bazar"/>
    <s v="Chattogram"/>
    <n v="50"/>
    <s v="Yes"/>
    <s v="No"/>
    <d v="1899-12-30T06:00:00"/>
    <d v="1899-12-30T20:00:00"/>
    <s v="Winter"/>
    <s v="Beaches and Islands"/>
    <x v="11"/>
    <n v="4000000"/>
    <n v="25000"/>
    <n v="0"/>
    <x v="0"/>
  </r>
  <r>
    <s v="Komlok Waterfalls"/>
    <s v="Rangamati"/>
    <s v="Chittagong Hill Tracts (CHT)"/>
    <n v="0"/>
    <s v="Yes"/>
    <s v="Yes"/>
    <d v="1899-12-30T06:00:00"/>
    <d v="1899-12-30T18:00:00"/>
    <s v="Monsoon"/>
    <s v="Waterfall"/>
    <x v="2"/>
    <n v="4000000"/>
    <n v="3000"/>
    <n v="0"/>
    <x v="0"/>
  </r>
  <r>
    <s v="Muppochora Jhorna"/>
    <s v="Rangamati"/>
    <s v="Chittagong Hill Tracts (CHT)"/>
    <n v="0"/>
    <s v="Yes"/>
    <s v="Yes"/>
    <d v="1899-12-30T06:00:00"/>
    <d v="1899-12-30T18:00:00"/>
    <s v="Monsoon"/>
    <s v="Waterfall"/>
    <x v="6"/>
    <n v="1600000"/>
    <n v="3000"/>
    <n v="0"/>
    <x v="0"/>
  </r>
  <r>
    <s v="Lake View Island"/>
    <s v="Rangamati"/>
    <s v="Chittagong Hill Tracts (CHT)"/>
    <n v="150"/>
    <s v="Yes"/>
    <s v="Yes"/>
    <d v="1899-12-30T06:00:00"/>
    <d v="1899-12-30T18:00:00"/>
    <s v="Spring"/>
    <s v="Lakes and Rivers"/>
    <x v="6"/>
    <n v="1800000"/>
    <n v="3000"/>
    <n v="2017"/>
    <x v="4"/>
  </r>
  <r>
    <s v="Dhuppani Waterfall"/>
    <s v="Rangamati"/>
    <s v="Chittagong Hill Tracts (CHT)"/>
    <n v="0"/>
    <s v="Yes"/>
    <s v="Yes"/>
    <d v="1899-12-30T06:00:00"/>
    <d v="1899-12-30T18:00:00"/>
    <s v="Monsoon"/>
    <s v="Waterfall"/>
    <x v="6"/>
    <n v="1000000"/>
    <n v="3000"/>
    <n v="2000"/>
    <x v="1"/>
  </r>
  <r>
    <s v="Choto Sona Mosque"/>
    <s v="Chapai Nawabganj"/>
    <s v="Rajshahi"/>
    <n v="0"/>
    <s v="No"/>
    <s v="No"/>
    <d v="1899-12-30T08:00:00"/>
    <d v="1899-12-30T17:00:00"/>
    <s v="Winter"/>
    <s v="Historic Monuments and Structures"/>
    <x v="3"/>
    <n v="1000000"/>
    <n v="4000"/>
    <n v="1500"/>
    <x v="13"/>
  </r>
  <r>
    <s v="Nuhash Polli"/>
    <s v="Gazipur"/>
    <s v="Dhaka"/>
    <n v="200"/>
    <s v="Yes"/>
    <s v="Yes"/>
    <d v="1899-12-30T06:00:00"/>
    <d v="1899-12-30T18:00:00"/>
    <s v="Spring"/>
    <s v="Entertainment and Picnic Spots"/>
    <x v="12"/>
    <n v="50000"/>
    <n v="3000"/>
    <n v="1997"/>
    <x v="1"/>
  </r>
  <r>
    <s v="Jaflong"/>
    <s v="Sylhet"/>
    <s v="Sylhet"/>
    <n v="40"/>
    <s v="No"/>
    <s v="No"/>
    <d v="1899-12-30T06:30:00"/>
    <d v="1899-12-30T18:00:00"/>
    <s v="Winter"/>
    <s v="Lakes and Rivers"/>
    <x v="2"/>
    <n v="2000000"/>
    <n v="4000"/>
    <n v="0"/>
    <x v="0"/>
  </r>
  <r>
    <s v="Barguna Biskhali Rever"/>
    <s v="Barguna"/>
    <s v="Barishal"/>
    <n v="30"/>
    <s v="No"/>
    <s v="No"/>
    <d v="1899-12-30T07:00:00"/>
    <d v="1899-12-30T17:00:00"/>
    <s v="Spring"/>
    <s v="Lakes and Rivers"/>
    <x v="6"/>
    <n v="500000"/>
    <n v="3000"/>
    <n v="0"/>
    <x v="0"/>
  </r>
  <r>
    <s v="Bipin Park"/>
    <s v="Mymensingh"/>
    <s v="Mymensingh"/>
    <n v="0"/>
    <s v="No"/>
    <s v="No"/>
    <d v="1899-12-30T07:30:00"/>
    <d v="1899-12-30T17:00:00"/>
    <s v="All Seasion"/>
    <s v="Entertainment and Picnic Spots"/>
    <x v="6"/>
    <n v="1000000"/>
    <n v="5000"/>
    <n v="2013"/>
    <x v="4"/>
  </r>
  <r>
    <s v="Rabindro kuti bari"/>
    <s v="Kustia"/>
    <s v="Khulna"/>
    <n v="15"/>
    <s v="Yes"/>
    <s v="Yes"/>
    <d v="1899-12-30T14:00:00"/>
    <d v="1899-12-30T17:00:00"/>
    <s v="Spring"/>
    <s v="Historic Monuments and Structures"/>
    <x v="6"/>
    <n v="1800000"/>
    <n v="5000"/>
    <n v="1889"/>
    <x v="3"/>
  </r>
  <r>
    <s v="holiday resourt"/>
    <s v="Rangamati"/>
    <s v="Chittagong Hill Tracts (CHT)"/>
    <n v="50"/>
    <s v="Yes"/>
    <s v="No"/>
    <d v="1899-12-30T08:30:00"/>
    <d v="1899-12-30T17:30:00"/>
    <s v="Winter"/>
    <s v="Entertainment and Picnic Spots"/>
    <x v="2"/>
    <n v="2000000"/>
    <n v="4000"/>
    <n v="0"/>
    <x v="0"/>
  </r>
  <r>
    <s v="Bangabandhu Safari Park"/>
    <s v="Gazipur"/>
    <s v="Dhaka"/>
    <n v="50"/>
    <s v="Yes"/>
    <s v="Yes"/>
    <d v="1899-12-30T11:00:00"/>
    <d v="1899-12-30T19:00:00"/>
    <s v="Spring"/>
    <s v="Entertainment and Picnic Spots"/>
    <x v="6"/>
    <n v="1600000"/>
    <n v="5000"/>
    <n v="2011"/>
    <x v="4"/>
  </r>
  <r>
    <s v="Ramna Park"/>
    <s v="Dhaka"/>
    <s v="Dhaka"/>
    <n v="0"/>
    <s v="Yes"/>
    <s v="Yes"/>
    <d v="1899-12-30T06:00:00"/>
    <d v="1899-12-30T18:00:00"/>
    <s v="Spring"/>
    <s v="Entertainment and Picnic Spots"/>
    <x v="6"/>
    <n v="1800000"/>
    <n v="7000"/>
    <n v="0"/>
    <x v="0"/>
  </r>
  <r>
    <s v="Baldha Gardens"/>
    <s v="Dhaka"/>
    <s v="Dhaka"/>
    <n v="10"/>
    <s v="Yes"/>
    <s v="Yes"/>
    <d v="1899-12-30T09:00:00"/>
    <d v="1899-12-30T17:00:00"/>
    <s v="Summer"/>
    <s v="Rainforests and Hills"/>
    <x v="6"/>
    <n v="1000000"/>
    <n v="3000"/>
    <n v="1909"/>
    <x v="1"/>
  </r>
  <r>
    <s v="Ramgopalpur Zamindar House"/>
    <s v="Mymensingh"/>
    <s v="Mymensingh"/>
    <n v="0"/>
    <s v="No"/>
    <s v="Yes"/>
    <d v="1899-12-30T08:00:00"/>
    <d v="1899-12-30T17:00:00"/>
    <s v="Summer"/>
    <s v="Cultural and Historical Sites"/>
    <x v="3"/>
    <n v="1000000"/>
    <n v="2000"/>
    <n v="1800"/>
    <x v="6"/>
  </r>
  <r>
    <s v="Kpotakkho Nod"/>
    <s v="josor"/>
    <s v="Khulna"/>
    <n v="0"/>
    <s v="No"/>
    <s v="No"/>
    <d v="1899-12-30T08:30:00"/>
    <d v="1899-12-30T17:30:00"/>
    <s v="Monsoon"/>
    <s v="Lakes and Rivers"/>
    <x v="3"/>
    <n v="1200000"/>
    <n v="2000"/>
    <n v="0"/>
    <x v="0"/>
  </r>
  <r>
    <s v="Liberation War Museum"/>
    <s v="Dhaka"/>
    <s v="Dhaka"/>
    <n v="50"/>
    <s v="Yes"/>
    <s v="Yes"/>
    <d v="1899-12-30T10:00:00"/>
    <d v="1899-12-30T17:00:00"/>
    <s v="All Seasion"/>
    <s v="Historic Monuments and Structures"/>
    <x v="4"/>
    <n v="5000000"/>
    <n v="6000"/>
    <n v="1996"/>
    <x v="1"/>
  </r>
  <r>
    <s v="Foy’s Lake Concord Amusement World"/>
    <s v="Chattogram"/>
    <s v="Chattogram"/>
    <n v="300"/>
    <s v="Yes"/>
    <s v="Yes"/>
    <d v="1899-12-30T09:00:00"/>
    <d v="1899-12-30T19:00:00"/>
    <s v="All Seasion"/>
    <s v="Lakes and Rivers"/>
    <x v="2"/>
    <n v="1000000"/>
    <n v="20000"/>
    <n v="2004"/>
    <x v="4"/>
  </r>
  <r>
    <s v="Alutila Cave"/>
    <s v="Khagrachori"/>
    <s v="Chittagong Hill Tracts (CHT)"/>
    <n v="0"/>
    <s v="Yes"/>
    <s v="Yes"/>
    <d v="1899-12-30T06:00:00"/>
    <d v="1899-12-30T18:00:00"/>
    <s v="Winter"/>
    <s v="Entertainment and Picnic Spots"/>
    <x v="2"/>
    <n v="10000000"/>
    <n v="3000"/>
    <n v="0"/>
    <x v="0"/>
  </r>
  <r>
    <s v="Matai Pukhiri"/>
    <s v="Khagrachori"/>
    <s v="Chittagong Hill Tracts (CHT)"/>
    <n v="0"/>
    <s v="Yes"/>
    <s v="Yes"/>
    <d v="1899-12-30T06:00:00"/>
    <d v="1899-12-30T18:00:00"/>
    <s v="Summer"/>
    <s v="Lakes and Rivers"/>
    <x v="2"/>
    <n v="10000000"/>
    <n v="3000"/>
    <n v="0"/>
    <x v="0"/>
  </r>
  <r>
    <s v="Horticulture Heritage Park"/>
    <s v="Khagrachori"/>
    <s v="Chittagong Hill Tracts (CHT)"/>
    <n v="20"/>
    <s v="Yes"/>
    <s v="Yes"/>
    <d v="1899-12-30T06:00:00"/>
    <d v="1899-12-30T18:00:00"/>
    <s v="All Seasion"/>
    <s v="Entertainment and Picnic Spots"/>
    <x v="6"/>
    <n v="2500000"/>
    <n v="3000"/>
    <n v="0"/>
    <x v="0"/>
  </r>
  <r>
    <s v="Mung Rajbari"/>
    <s v="Khagrachori"/>
    <s v="Chittagong Hill Tracts (CHT)"/>
    <n v="0"/>
    <s v="Yes"/>
    <s v="Yes"/>
    <d v="1899-12-30T06:00:00"/>
    <d v="1899-12-30T18:00:00"/>
    <s v="Spring"/>
    <s v="Historic Monuments and Structures"/>
    <x v="2"/>
    <n v="2000000"/>
    <n v="3000"/>
    <n v="0"/>
    <x v="0"/>
  </r>
  <r>
    <s v="Panchari Shantipur Aranya Kutir"/>
    <s v="Khagrachori"/>
    <s v="Chittagong Hill Tracts (CHT)"/>
    <n v="0"/>
    <s v="Yes"/>
    <s v="Yes"/>
    <d v="1899-12-30T06:00:00"/>
    <d v="1899-12-30T18:00:00"/>
    <s v="All Seasion"/>
    <s v="Rainforests and Hills"/>
    <x v="2"/>
    <n v="2500000"/>
    <n v="3000"/>
    <n v="0"/>
    <x v="0"/>
  </r>
  <r>
    <s v="Hatimatha Pahar"/>
    <s v="Khagrachori"/>
    <s v="Chittagong Hill Tracts (CHT)"/>
    <n v="0"/>
    <s v="Yes"/>
    <s v="Yes"/>
    <d v="1899-12-30T06:00:00"/>
    <d v="1899-12-30T18:00:00"/>
    <s v="Winter"/>
    <s v="Rainforests and Hills"/>
    <x v="2"/>
    <n v="2000000"/>
    <n v="3000"/>
    <n v="0"/>
    <x v="0"/>
  </r>
  <r>
    <s v="New Zealand Para"/>
    <s v="Khagrachori"/>
    <s v="Chittagong Hill Tracts (CHT)"/>
    <n v="0"/>
    <s v="Yes"/>
    <s v="Yes"/>
    <d v="1899-12-30T06:00:00"/>
    <d v="1899-12-30T18:00:00"/>
    <s v="Winter"/>
    <s v="Entertainment and Picnic Spots"/>
    <x v="1"/>
    <n v="2000000"/>
    <n v="3000"/>
    <n v="0"/>
    <x v="0"/>
  </r>
  <r>
    <s v="Risang Jhorna"/>
    <s v="Khagrachori"/>
    <s v="Chittagong Hill Tracts (CHT)"/>
    <n v="0"/>
    <s v="Yes"/>
    <s v="Yes"/>
    <d v="1899-12-30T06:00:00"/>
    <d v="1899-12-30T18:00:00"/>
    <s v="Monsoon"/>
    <s v="Waterfall"/>
    <x v="2"/>
    <n v="4000000"/>
    <n v="3000"/>
    <n v="0"/>
    <x v="0"/>
  </r>
  <r>
    <s v="Mayabini Lake"/>
    <s v="Khagrachori"/>
    <s v="Chittagong Hill Tracts (CHT)"/>
    <n v="0"/>
    <s v="Yes"/>
    <s v="Yes"/>
    <d v="1899-12-30T06:00:00"/>
    <d v="1899-12-30T18:00:00"/>
    <s v="Summer"/>
    <s v="Lakes and Rivers"/>
    <x v="2"/>
    <n v="10000000"/>
    <n v="3000"/>
    <n v="0"/>
    <x v="0"/>
  </r>
  <r>
    <s v="TAIDUCHARA WATERFALL"/>
    <s v="Khagrachori"/>
    <s v="Chittagong Hill Tracts (CHT)"/>
    <n v="0"/>
    <s v="Yes"/>
    <s v="Yes"/>
    <d v="1899-12-30T06:00:00"/>
    <d v="1899-12-30T18:00:00"/>
    <s v="Monsoon"/>
    <s v="Waterfall"/>
    <x v="6"/>
    <n v="2500000"/>
    <n v="3000"/>
    <n v="0"/>
    <x v="0"/>
  </r>
  <r>
    <s v="Kuakata Buddhist Temple"/>
    <s v="Potuakhali"/>
    <s v="Barishal"/>
    <n v="15"/>
    <s v="Yes"/>
    <s v="Yes"/>
    <d v="1899-12-30T06:00:00"/>
    <d v="1899-12-30T18:00:00"/>
    <s v="All Seasion"/>
    <s v="Religious and Historical Sites"/>
    <x v="13"/>
    <n v="80000"/>
    <n v="1500"/>
    <n v="1820"/>
    <x v="3"/>
  </r>
  <r>
    <s v="Manpura Island"/>
    <s v="Bhola"/>
    <s v="Barishal"/>
    <n v="0"/>
    <s v="Yes"/>
    <s v="Yes"/>
    <d v="1899-12-30T06:00:00"/>
    <d v="1899-12-30T18:00:00"/>
    <s v="Spring"/>
    <s v="Beaches and Islands"/>
    <x v="2"/>
    <n v="2000000"/>
    <n v="3000"/>
    <n v="0"/>
    <x v="0"/>
  </r>
  <r>
    <s v="Bir Shreshtha Mostafa Kamal Memorial Museum"/>
    <s v="Bhola"/>
    <s v="Barishal"/>
    <n v="0"/>
    <s v="Yes"/>
    <s v="Yes"/>
    <d v="1899-12-30T10:00:00"/>
    <d v="1899-12-30T17:00:00"/>
    <s v="All Seasion"/>
    <s v="Historic Monuments and Structures"/>
    <x v="2"/>
    <n v="2500000"/>
    <n v="1500"/>
    <n v="2008"/>
    <x v="4"/>
  </r>
  <r>
    <s v="Jacob Tower"/>
    <s v="Bhola"/>
    <s v="Barishal"/>
    <n v="100"/>
    <s v="Yes"/>
    <s v="Yes"/>
    <d v="1899-12-30T06:00:00"/>
    <d v="1899-12-30T18:00:00"/>
    <s v="All Seasion"/>
    <s v="Historic Monuments and Structures"/>
    <x v="2"/>
    <n v="3000000"/>
    <n v="2000"/>
    <n v="2013"/>
    <x v="4"/>
  </r>
  <r>
    <s v="Shaheed A.H.M. Kamaruzzaman Central Par"/>
    <s v="Rajshahi"/>
    <s v="Rajshahi"/>
    <n v="25"/>
    <s v="Yes"/>
    <s v="Yes"/>
    <d v="1899-12-30T06:00:00"/>
    <d v="1899-12-30T18:00:00"/>
    <s v="All Seasion"/>
    <s v="Entertainment and Picnic Spots"/>
    <x v="4"/>
    <n v="5000000"/>
    <n v="3000"/>
    <n v="197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79BD8A-7FAC-4A0F-BFFB-279F7FEA2685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5:B125" firstHeaderRow="1" firstDataRow="1" firstDataCol="1"/>
  <pivotFields count="17">
    <pivotField axis="axisRow" showAll="0">
      <items count="120">
        <item x="16"/>
        <item x="104"/>
        <item x="59"/>
        <item x="20"/>
        <item x="67"/>
        <item x="15"/>
        <item x="99"/>
        <item x="14"/>
        <item x="97"/>
        <item x="44"/>
        <item x="93"/>
        <item x="6"/>
        <item x="61"/>
        <item x="82"/>
        <item x="43"/>
        <item x="26"/>
        <item x="77"/>
        <item x="94"/>
        <item x="116"/>
        <item x="62"/>
        <item x="51"/>
        <item x="58"/>
        <item x="75"/>
        <item x="11"/>
        <item x="9"/>
        <item x="53"/>
        <item x="90"/>
        <item x="84"/>
        <item x="46"/>
        <item x="12"/>
        <item x="55"/>
        <item x="17"/>
        <item x="89"/>
        <item x="83"/>
        <item x="103"/>
        <item x="1"/>
        <item x="8"/>
        <item x="78"/>
        <item x="72"/>
        <item x="109"/>
        <item x="32"/>
        <item x="96"/>
        <item x="38"/>
        <item x="106"/>
        <item x="85"/>
        <item x="117"/>
        <item x="92"/>
        <item x="3"/>
        <item x="60"/>
        <item x="28"/>
        <item x="81"/>
        <item x="50"/>
        <item x="86"/>
        <item x="101"/>
        <item x="0"/>
        <item x="114"/>
        <item x="41"/>
        <item x="45"/>
        <item x="79"/>
        <item x="88"/>
        <item x="2"/>
        <item x="63"/>
        <item x="102"/>
        <item x="31"/>
        <item x="65"/>
        <item x="115"/>
        <item x="105"/>
        <item x="112"/>
        <item x="54"/>
        <item x="70"/>
        <item x="107"/>
        <item x="87"/>
        <item x="69"/>
        <item x="57"/>
        <item x="74"/>
        <item x="66"/>
        <item x="13"/>
        <item x="10"/>
        <item x="35"/>
        <item x="110"/>
        <item x="52"/>
        <item x="49"/>
        <item x="91"/>
        <item x="68"/>
        <item x="108"/>
        <item x="76"/>
        <item x="23"/>
        <item x="95"/>
        <item x="22"/>
        <item x="7"/>
        <item x="100"/>
        <item x="98"/>
        <item x="30"/>
        <item x="111"/>
        <item x="71"/>
        <item x="42"/>
        <item x="18"/>
        <item x="56"/>
        <item x="24"/>
        <item x="80"/>
        <item x="118"/>
        <item x="34"/>
        <item x="25"/>
        <item x="4"/>
        <item x="33"/>
        <item x="5"/>
        <item x="73"/>
        <item x="21"/>
        <item x="19"/>
        <item x="36"/>
        <item x="113"/>
        <item x="27"/>
        <item x="40"/>
        <item x="47"/>
        <item x="29"/>
        <item x="37"/>
        <item x="48"/>
        <item x="64"/>
        <item x="3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3" showAll="0"/>
    <pivotField numFmtId="3" showAll="0"/>
    <pivotField numFmtId="3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 t="grand">
      <x/>
    </i>
  </rowItems>
  <colItems count="1">
    <i/>
  </colItems>
  <dataFields count="1">
    <dataField name="Sum of Gov Revenue yearly (Tk)" fld="1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F1BFA4-4765-410A-A326-B7754F555E55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5:B15" firstHeaderRow="1" firstDataRow="1" firstDataCol="1"/>
  <pivotFields count="17">
    <pivotField showAll="0"/>
    <pivotField showAll="0"/>
    <pivotField axis="axisRow" showAll="0">
      <items count="10">
        <item x="0"/>
        <item x="4"/>
        <item x="2"/>
        <item x="1"/>
        <item x="8"/>
        <item x="7"/>
        <item x="3"/>
        <item x="6"/>
        <item x="5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numFmtId="3" showAll="0"/>
    <pivotField numFmtId="3" showAll="0"/>
    <pivotField numFmtId="3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Average of Ticket Price (Tk)" fld="3" subtotal="average" baseField="2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D61C2A-C1BE-40B7-A320-B1AFA1A273DF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5:C37" firstHeaderRow="0" firstDataRow="1" firstDataCol="1"/>
  <pivotFields count="17">
    <pivotField showAll="0"/>
    <pivotField axis="axisRow" showAll="0">
      <items count="32">
        <item x="25"/>
        <item x="19"/>
        <item x="17"/>
        <item x="4"/>
        <item x="23"/>
        <item x="22"/>
        <item x="27"/>
        <item x="6"/>
        <item x="13"/>
        <item x="18"/>
        <item x="2"/>
        <item x="10"/>
        <item x="20"/>
        <item x="1"/>
        <item x="29"/>
        <item x="30"/>
        <item x="16"/>
        <item x="28"/>
        <item x="11"/>
        <item x="12"/>
        <item x="26"/>
        <item x="7"/>
        <item x="24"/>
        <item x="14"/>
        <item x="0"/>
        <item x="5"/>
        <item x="3"/>
        <item x="21"/>
        <item x="15"/>
        <item x="9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3" showAll="0"/>
    <pivotField numFmtId="3" showAll="0"/>
    <pivotField dataField="1" numFmtId="3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nthly Avg. Visitors" fld="12" baseField="0" baseItem="0"/>
    <dataField name="Average of Gov Revenue yearly (Tk)" fld="10" subtotal="average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098426-76B0-4447-B4D6-8688F25CCA56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5:B22" firstHeaderRow="1" firstDataRow="1" firstDataCol="1"/>
  <pivotFields count="17">
    <pivotField showAll="0"/>
    <pivotField showAll="0"/>
    <pivotField axis="axisRow" showAll="0">
      <items count="10">
        <item x="0"/>
        <item x="4"/>
        <item x="2"/>
        <item x="1"/>
        <item x="8"/>
        <item x="7"/>
        <item x="3"/>
        <item x="6"/>
        <item x="5"/>
        <item t="default"/>
      </items>
    </pivotField>
    <pivotField showAll="0"/>
    <pivotField showAll="0"/>
    <pivotField axis="axisRow" dataField="1" showAll="0">
      <items count="3">
        <item h="1" x="1"/>
        <item x="0"/>
        <item t="default"/>
      </items>
    </pivotField>
    <pivotField showAll="0"/>
    <pivotField showAll="0"/>
    <pivotField showAll="0"/>
    <pivotField showAll="0"/>
    <pivotField numFmtId="3" showAll="0"/>
    <pivotField numFmtId="3" showAll="0"/>
    <pivotField numFmtId="3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2"/>
    <field x="5"/>
  </rowFields>
  <rowItems count="17">
    <i>
      <x/>
    </i>
    <i r="1">
      <x v="1"/>
    </i>
    <i>
      <x v="1"/>
    </i>
    <i r="1">
      <x v="1"/>
    </i>
    <i>
      <x v="2"/>
    </i>
    <i r="1">
      <x v="1"/>
    </i>
    <i>
      <x v="3"/>
    </i>
    <i r="1">
      <x v="1"/>
    </i>
    <i>
      <x v="4"/>
    </i>
    <i r="1">
      <x v="1"/>
    </i>
    <i>
      <x v="5"/>
    </i>
    <i r="1">
      <x v="1"/>
    </i>
    <i>
      <x v="6"/>
    </i>
    <i r="1">
      <x v="1"/>
    </i>
    <i>
      <x v="8"/>
    </i>
    <i r="1">
      <x v="1"/>
    </i>
    <i t="grand">
      <x/>
    </i>
  </rowItems>
  <colItems count="1">
    <i/>
  </colItems>
  <dataFields count="1">
    <dataField name="Count of Accessible for Disabled" fld="5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97186F-D827-4637-B1AF-58BB4E32F948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5:D125" firstHeaderRow="0" firstDataRow="1" firstDataCol="1"/>
  <pivotFields count="17">
    <pivotField axis="axisRow" showAll="0">
      <items count="120">
        <item x="16"/>
        <item x="104"/>
        <item x="59"/>
        <item x="20"/>
        <item x="67"/>
        <item x="15"/>
        <item x="99"/>
        <item x="14"/>
        <item x="97"/>
        <item x="44"/>
        <item x="93"/>
        <item x="6"/>
        <item x="61"/>
        <item x="82"/>
        <item x="43"/>
        <item x="26"/>
        <item x="77"/>
        <item x="94"/>
        <item x="116"/>
        <item x="62"/>
        <item x="51"/>
        <item x="58"/>
        <item x="75"/>
        <item x="11"/>
        <item x="9"/>
        <item x="53"/>
        <item x="90"/>
        <item x="84"/>
        <item x="46"/>
        <item x="12"/>
        <item x="55"/>
        <item x="17"/>
        <item x="89"/>
        <item x="83"/>
        <item x="103"/>
        <item x="1"/>
        <item x="8"/>
        <item x="78"/>
        <item x="72"/>
        <item x="109"/>
        <item x="32"/>
        <item x="96"/>
        <item x="38"/>
        <item x="106"/>
        <item x="85"/>
        <item x="117"/>
        <item x="92"/>
        <item x="3"/>
        <item x="60"/>
        <item x="28"/>
        <item x="81"/>
        <item x="50"/>
        <item x="86"/>
        <item x="101"/>
        <item x="0"/>
        <item x="114"/>
        <item x="41"/>
        <item x="45"/>
        <item x="79"/>
        <item x="88"/>
        <item x="2"/>
        <item x="63"/>
        <item x="102"/>
        <item x="31"/>
        <item x="65"/>
        <item x="115"/>
        <item x="105"/>
        <item x="112"/>
        <item x="54"/>
        <item x="70"/>
        <item x="107"/>
        <item x="87"/>
        <item x="69"/>
        <item x="57"/>
        <item x="74"/>
        <item x="66"/>
        <item x="13"/>
        <item x="10"/>
        <item x="35"/>
        <item x="110"/>
        <item x="52"/>
        <item x="49"/>
        <item x="91"/>
        <item x="68"/>
        <item x="108"/>
        <item x="76"/>
        <item x="23"/>
        <item x="95"/>
        <item x="22"/>
        <item x="7"/>
        <item x="100"/>
        <item x="98"/>
        <item x="30"/>
        <item x="111"/>
        <item x="71"/>
        <item x="42"/>
        <item x="18"/>
        <item x="56"/>
        <item x="24"/>
        <item x="80"/>
        <item x="118"/>
        <item x="34"/>
        <item x="25"/>
        <item x="4"/>
        <item x="33"/>
        <item x="5"/>
        <item x="73"/>
        <item x="21"/>
        <item x="19"/>
        <item x="36"/>
        <item x="113"/>
        <item x="27"/>
        <item x="40"/>
        <item x="47"/>
        <item x="29"/>
        <item x="37"/>
        <item x="48"/>
        <item x="64"/>
        <item x="39"/>
        <item t="default"/>
      </items>
    </pivotField>
    <pivotField showAll="0"/>
    <pivotField showAll="0"/>
    <pivotField showAll="0">
      <items count="19">
        <item x="0"/>
        <item x="3"/>
        <item x="5"/>
        <item x="6"/>
        <item x="1"/>
        <item x="15"/>
        <item x="8"/>
        <item x="4"/>
        <item x="9"/>
        <item x="2"/>
        <item x="7"/>
        <item x="16"/>
        <item x="13"/>
        <item x="12"/>
        <item x="17"/>
        <item x="14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3" showAll="0"/>
    <pivotField dataField="1" numFmtId="3" showAll="0"/>
    <pivotField numFmtId="3" showAll="0"/>
    <pivotField showAl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Gov Revenue yearly (Tk)" fld="10" baseField="0" baseItem="0"/>
    <dataField name="Sum of Dev Cost yearly (Tk)" fld="11" baseField="0" baseItem="0"/>
    <dataField name="(Revenue/Cost) Ratio" fld="14" baseField="0" baseItem="0" numFmtId="3"/>
  </dataFields>
  <chartFormats count="3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46A4EA-EC99-4AD0-80F4-FE9CBF8F7CB6}" name="PivotTable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5:B11" firstHeaderRow="1" firstDataRow="1" firstDataCol="1"/>
  <pivotFields count="17">
    <pivotField showAll="0">
      <items count="120">
        <item x="16"/>
        <item x="104"/>
        <item x="59"/>
        <item x="20"/>
        <item x="67"/>
        <item x="15"/>
        <item x="99"/>
        <item x="14"/>
        <item x="97"/>
        <item x="44"/>
        <item x="93"/>
        <item x="6"/>
        <item x="61"/>
        <item x="82"/>
        <item x="43"/>
        <item x="26"/>
        <item x="77"/>
        <item x="94"/>
        <item x="116"/>
        <item x="62"/>
        <item x="51"/>
        <item x="58"/>
        <item x="75"/>
        <item x="11"/>
        <item x="9"/>
        <item x="53"/>
        <item x="90"/>
        <item x="84"/>
        <item x="46"/>
        <item x="12"/>
        <item x="55"/>
        <item x="17"/>
        <item x="89"/>
        <item x="83"/>
        <item x="103"/>
        <item x="1"/>
        <item x="8"/>
        <item x="78"/>
        <item x="72"/>
        <item x="109"/>
        <item x="32"/>
        <item x="96"/>
        <item x="38"/>
        <item x="106"/>
        <item x="85"/>
        <item x="117"/>
        <item x="92"/>
        <item x="3"/>
        <item x="60"/>
        <item x="28"/>
        <item x="81"/>
        <item x="50"/>
        <item x="86"/>
        <item x="101"/>
        <item x="0"/>
        <item x="114"/>
        <item x="41"/>
        <item x="45"/>
        <item x="79"/>
        <item x="88"/>
        <item x="2"/>
        <item x="63"/>
        <item x="102"/>
        <item x="31"/>
        <item x="65"/>
        <item x="115"/>
        <item x="105"/>
        <item x="112"/>
        <item x="54"/>
        <item x="70"/>
        <item x="107"/>
        <item x="87"/>
        <item x="69"/>
        <item x="57"/>
        <item x="74"/>
        <item x="66"/>
        <item x="13"/>
        <item x="10"/>
        <item x="35"/>
        <item x="110"/>
        <item x="52"/>
        <item x="49"/>
        <item x="91"/>
        <item x="68"/>
        <item x="108"/>
        <item x="76"/>
        <item x="23"/>
        <item x="95"/>
        <item x="22"/>
        <item x="7"/>
        <item x="100"/>
        <item x="98"/>
        <item x="30"/>
        <item x="111"/>
        <item x="71"/>
        <item x="42"/>
        <item x="18"/>
        <item x="56"/>
        <item x="24"/>
        <item x="80"/>
        <item x="118"/>
        <item x="34"/>
        <item x="25"/>
        <item x="4"/>
        <item x="33"/>
        <item x="5"/>
        <item x="73"/>
        <item x="21"/>
        <item x="19"/>
        <item x="36"/>
        <item x="113"/>
        <item x="27"/>
        <item x="40"/>
        <item x="47"/>
        <item x="29"/>
        <item x="37"/>
        <item x="48"/>
        <item x="64"/>
        <item x="3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6">
        <item x="3"/>
        <item x="1"/>
        <item x="2"/>
        <item x="4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3" showAll="0"/>
    <pivotField numFmtId="3" showAll="0"/>
    <pivotField dataField="1" numFmtId="3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6">
    <i>
      <x v="4"/>
    </i>
    <i>
      <x v="2"/>
    </i>
    <i>
      <x/>
    </i>
    <i>
      <x v="3"/>
    </i>
    <i>
      <x v="1"/>
    </i>
    <i t="grand">
      <x/>
    </i>
  </rowItems>
  <colItems count="1">
    <i/>
  </colItems>
  <dataFields count="1">
    <dataField name="Average of Monthly Avg. Visitors" fld="12" subtotal="average" baseField="8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83C310-7B98-4D21-8D54-92893759F584}" name="PivotTable7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7:C31" firstHeaderRow="0" firstDataRow="1" firstDataCol="1" rowPageCount="1" colPageCount="1"/>
  <pivotFields count="17">
    <pivotField axis="axisRow" showAll="0">
      <items count="120">
        <item x="16"/>
        <item x="104"/>
        <item x="59"/>
        <item x="20"/>
        <item x="67"/>
        <item x="15"/>
        <item x="99"/>
        <item x="14"/>
        <item x="97"/>
        <item x="44"/>
        <item x="93"/>
        <item x="6"/>
        <item x="61"/>
        <item x="82"/>
        <item x="43"/>
        <item x="26"/>
        <item x="77"/>
        <item x="94"/>
        <item x="116"/>
        <item x="62"/>
        <item x="51"/>
        <item x="58"/>
        <item x="75"/>
        <item x="11"/>
        <item x="9"/>
        <item x="53"/>
        <item x="90"/>
        <item x="84"/>
        <item x="46"/>
        <item x="12"/>
        <item x="55"/>
        <item x="17"/>
        <item x="89"/>
        <item x="83"/>
        <item x="103"/>
        <item x="1"/>
        <item x="8"/>
        <item x="78"/>
        <item x="72"/>
        <item x="109"/>
        <item x="32"/>
        <item x="96"/>
        <item x="38"/>
        <item x="106"/>
        <item x="85"/>
        <item x="117"/>
        <item x="92"/>
        <item x="3"/>
        <item x="60"/>
        <item x="28"/>
        <item x="81"/>
        <item x="50"/>
        <item x="86"/>
        <item x="101"/>
        <item x="0"/>
        <item x="114"/>
        <item x="41"/>
        <item x="45"/>
        <item x="79"/>
        <item x="88"/>
        <item x="2"/>
        <item x="63"/>
        <item x="102"/>
        <item x="31"/>
        <item x="65"/>
        <item x="115"/>
        <item x="105"/>
        <item x="112"/>
        <item x="54"/>
        <item x="70"/>
        <item x="107"/>
        <item x="87"/>
        <item x="69"/>
        <item x="57"/>
        <item x="74"/>
        <item x="66"/>
        <item x="13"/>
        <item x="10"/>
        <item x="35"/>
        <item x="110"/>
        <item x="52"/>
        <item x="49"/>
        <item x="91"/>
        <item x="68"/>
        <item x="108"/>
        <item x="76"/>
        <item x="23"/>
        <item x="95"/>
        <item x="22"/>
        <item x="7"/>
        <item x="100"/>
        <item x="98"/>
        <item x="30"/>
        <item x="111"/>
        <item x="71"/>
        <item x="42"/>
        <item x="18"/>
        <item x="56"/>
        <item x="24"/>
        <item x="80"/>
        <item x="118"/>
        <item x="34"/>
        <item x="25"/>
        <item x="4"/>
        <item x="33"/>
        <item x="5"/>
        <item x="73"/>
        <item x="21"/>
        <item x="19"/>
        <item x="36"/>
        <item x="113"/>
        <item x="27"/>
        <item x="40"/>
        <item x="47"/>
        <item x="29"/>
        <item x="37"/>
        <item x="48"/>
        <item x="64"/>
        <item x="39"/>
        <item t="default"/>
      </items>
    </pivotField>
    <pivotField showAll="0"/>
    <pivotField axis="axisPage" showAll="0">
      <items count="10">
        <item x="0"/>
        <item x="4"/>
        <item x="2"/>
        <item x="1"/>
        <item x="8"/>
        <item x="7"/>
        <item x="3"/>
        <item x="6"/>
        <item x="5"/>
        <item t="default"/>
      </items>
    </pivotField>
    <pivotField showAll="0"/>
    <pivotField dataField="1" showAll="0">
      <items count="3">
        <item h="1" x="1"/>
        <item x="0"/>
        <item t="default"/>
      </items>
    </pivotField>
    <pivotField showAll="0"/>
    <pivotField showAll="0"/>
    <pivotField showAll="0"/>
    <pivotField showAll="0"/>
    <pivotField showAll="0"/>
    <pivotField dataField="1" numFmtId="3" showAll="0"/>
    <pivotField numFmtId="3" showAll="0"/>
    <pivotField numFmtId="3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4">
    <i>
      <x v="10"/>
    </i>
    <i>
      <x v="11"/>
    </i>
    <i>
      <x v="14"/>
    </i>
    <i>
      <x v="15"/>
    </i>
    <i>
      <x v="18"/>
    </i>
    <i>
      <x v="22"/>
    </i>
    <i>
      <x v="33"/>
    </i>
    <i>
      <x v="35"/>
    </i>
    <i>
      <x v="36"/>
    </i>
    <i>
      <x v="38"/>
    </i>
    <i>
      <x v="42"/>
    </i>
    <i>
      <x v="45"/>
    </i>
    <i>
      <x v="54"/>
    </i>
    <i>
      <x v="55"/>
    </i>
    <i>
      <x v="56"/>
    </i>
    <i>
      <x v="65"/>
    </i>
    <i>
      <x v="69"/>
    </i>
    <i>
      <x v="74"/>
    </i>
    <i>
      <x v="94"/>
    </i>
    <i>
      <x v="102"/>
    </i>
    <i>
      <x v="103"/>
    </i>
    <i>
      <x v="106"/>
    </i>
    <i>
      <x v="113"/>
    </i>
    <i t="grand">
      <x/>
    </i>
  </rowItems>
  <colFields count="1">
    <field x="-2"/>
  </colFields>
  <colItems count="2">
    <i>
      <x/>
    </i>
    <i i="1">
      <x v="1"/>
    </i>
  </colItems>
  <pageFields count="1">
    <pageField fld="2" item="0" hier="-1"/>
  </pageFields>
  <dataFields count="2">
    <dataField name="Count of Car Parking" fld="4" subtotal="count" baseField="0" baseItem="0"/>
    <dataField name="Sum of Gov Revenue yearly (Tk)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E112E0-FCC2-4C10-8D8E-85BB8AE9412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5:C125" firstHeaderRow="0" firstDataRow="1" firstDataCol="1"/>
  <pivotFields count="17">
    <pivotField axis="axisRow" showAll="0">
      <items count="120">
        <item x="16"/>
        <item x="104"/>
        <item x="59"/>
        <item x="20"/>
        <item x="67"/>
        <item x="15"/>
        <item x="99"/>
        <item x="14"/>
        <item x="97"/>
        <item x="44"/>
        <item x="93"/>
        <item x="6"/>
        <item x="61"/>
        <item x="82"/>
        <item x="43"/>
        <item x="26"/>
        <item x="77"/>
        <item x="94"/>
        <item x="116"/>
        <item x="62"/>
        <item x="51"/>
        <item x="58"/>
        <item x="75"/>
        <item x="11"/>
        <item x="9"/>
        <item x="53"/>
        <item x="90"/>
        <item x="84"/>
        <item x="46"/>
        <item x="12"/>
        <item x="55"/>
        <item x="17"/>
        <item x="89"/>
        <item x="83"/>
        <item x="103"/>
        <item x="1"/>
        <item x="8"/>
        <item x="78"/>
        <item x="72"/>
        <item x="109"/>
        <item x="32"/>
        <item x="96"/>
        <item x="38"/>
        <item x="106"/>
        <item x="85"/>
        <item x="117"/>
        <item x="92"/>
        <item x="3"/>
        <item x="60"/>
        <item x="28"/>
        <item x="81"/>
        <item x="50"/>
        <item x="86"/>
        <item x="101"/>
        <item x="0"/>
        <item x="114"/>
        <item x="41"/>
        <item x="45"/>
        <item x="79"/>
        <item x="88"/>
        <item x="2"/>
        <item x="63"/>
        <item x="102"/>
        <item x="31"/>
        <item x="65"/>
        <item x="115"/>
        <item x="105"/>
        <item x="112"/>
        <item x="54"/>
        <item x="70"/>
        <item x="107"/>
        <item x="87"/>
        <item x="69"/>
        <item x="57"/>
        <item x="74"/>
        <item x="66"/>
        <item x="13"/>
        <item x="10"/>
        <item x="35"/>
        <item x="110"/>
        <item x="52"/>
        <item x="49"/>
        <item x="91"/>
        <item x="68"/>
        <item x="108"/>
        <item x="76"/>
        <item x="23"/>
        <item x="95"/>
        <item x="22"/>
        <item x="7"/>
        <item x="100"/>
        <item x="98"/>
        <item x="30"/>
        <item x="111"/>
        <item x="71"/>
        <item x="42"/>
        <item x="18"/>
        <item x="56"/>
        <item x="24"/>
        <item x="80"/>
        <item x="118"/>
        <item x="34"/>
        <item x="25"/>
        <item x="4"/>
        <item x="33"/>
        <item x="5"/>
        <item x="73"/>
        <item x="21"/>
        <item x="19"/>
        <item x="36"/>
        <item x="113"/>
        <item x="27"/>
        <item x="40"/>
        <item x="47"/>
        <item x="29"/>
        <item x="37"/>
        <item x="48"/>
        <item x="64"/>
        <item x="3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numFmtId="3" showAll="0"/>
    <pivotField dataField="1" numFmtId="3" showAll="0"/>
    <pivotField numFmtId="3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icket Price (Tk)" fld="3" baseField="0" baseItem="1"/>
    <dataField name="Sum of Dev Cost yearly (Tk)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C8DE89-B646-425F-8A81-61DAFAE4FE1C}" name="PivotTable8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Q8:R23" firstHeaderRow="1" firstDataRow="1" firstDataCol="1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3" showAll="0"/>
    <pivotField numFmtId="3" showAll="0"/>
    <pivotField dataField="1" numFmtId="3" showAll="0"/>
    <pivotField showAll="0"/>
    <pivotField axis="axisRow" showAll="0" sortType="descending">
      <items count="15">
        <item x="0"/>
        <item x="10"/>
        <item x="9"/>
        <item x="12"/>
        <item x="5"/>
        <item x="7"/>
        <item x="8"/>
        <item x="13"/>
        <item x="11"/>
        <item x="2"/>
        <item x="6"/>
        <item x="3"/>
        <item x="1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4"/>
  </rowFields>
  <rowItems count="15">
    <i>
      <x v="6"/>
    </i>
    <i>
      <x v="9"/>
    </i>
    <i>
      <x/>
    </i>
    <i>
      <x v="12"/>
    </i>
    <i>
      <x v="13"/>
    </i>
    <i>
      <x v="11"/>
    </i>
    <i>
      <x v="10"/>
    </i>
    <i>
      <x v="2"/>
    </i>
    <i>
      <x v="4"/>
    </i>
    <i>
      <x v="3"/>
    </i>
    <i>
      <x v="5"/>
    </i>
    <i>
      <x v="1"/>
    </i>
    <i>
      <x v="8"/>
    </i>
    <i>
      <x v="7"/>
    </i>
    <i t="grand">
      <x/>
    </i>
  </rowItems>
  <colItems count="1">
    <i/>
  </colItems>
  <dataFields count="1">
    <dataField name="Sum of Monthly Avg. Visitors" fld="12" baseField="0" baseItem="0"/>
  </dataFields>
  <chartFormats count="1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9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4" count="1" selected="0">
            <x v="12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4" count="1" selected="0">
            <x v="13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4" count="1" selected="0">
            <x v="11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4" count="1" selected="0">
            <x v="10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8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6631-CEAF-4C07-9462-3BCD1D2B0AC8}">
  <sheetPr codeName="Sheet3"/>
  <dimension ref="G5:R9"/>
  <sheetViews>
    <sheetView showGridLines="0" topLeftCell="B1" workbookViewId="0">
      <selection activeCell="T10" sqref="T10"/>
    </sheetView>
  </sheetViews>
  <sheetFormatPr defaultRowHeight="12" x14ac:dyDescent="0.25"/>
  <sheetData>
    <row r="5" spans="7:18" x14ac:dyDescent="0.25">
      <c r="G5" s="44" t="s">
        <v>132</v>
      </c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</row>
    <row r="6" spans="7:18" x14ac:dyDescent="0.25"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</row>
    <row r="7" spans="7:18" x14ac:dyDescent="0.25"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</row>
    <row r="8" spans="7:18" x14ac:dyDescent="0.25"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</row>
    <row r="9" spans="7:18" x14ac:dyDescent="0.25"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</row>
  </sheetData>
  <mergeCells count="1">
    <mergeCell ref="G5:R9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DB776-BB48-422D-AFC4-0A661A579D68}">
  <sheetPr codeName="Sheet1"/>
  <dimension ref="A1:N121"/>
  <sheetViews>
    <sheetView zoomScale="119" workbookViewId="0">
      <selection activeCell="B15" sqref="B15"/>
    </sheetView>
  </sheetViews>
  <sheetFormatPr defaultRowHeight="12" x14ac:dyDescent="0.25"/>
  <cols>
    <col min="1" max="1" width="20.85546875" customWidth="1"/>
    <col min="3" max="3" width="26.85546875" bestFit="1" customWidth="1"/>
    <col min="4" max="4" width="16.85546875" style="22" customWidth="1"/>
    <col min="5" max="5" width="12.7109375" style="9" customWidth="1"/>
    <col min="6" max="6" width="11.7109375" style="9" customWidth="1"/>
    <col min="7" max="7" width="12.42578125" style="7" bestFit="1" customWidth="1"/>
    <col min="8" max="8" width="12.28515625" style="7" bestFit="1" customWidth="1"/>
    <col min="9" max="9" width="14.5703125" style="9" customWidth="1"/>
    <col min="10" max="10" width="18.42578125" style="11" customWidth="1"/>
    <col min="11" max="11" width="12.85546875" style="12" customWidth="1"/>
    <col min="12" max="12" width="18.42578125" style="12" customWidth="1"/>
    <col min="13" max="13" width="12.5703125" style="12" bestFit="1" customWidth="1"/>
    <col min="14" max="14" width="11.140625" style="9" customWidth="1"/>
  </cols>
  <sheetData>
    <row r="1" spans="1:14" s="18" customFormat="1" ht="13.2" x14ac:dyDescent="0.25">
      <c r="A1" s="15" t="s">
        <v>11</v>
      </c>
      <c r="B1" s="15" t="s">
        <v>0</v>
      </c>
      <c r="C1" s="15" t="s">
        <v>9</v>
      </c>
      <c r="D1" s="21" t="s">
        <v>1</v>
      </c>
      <c r="E1" s="16" t="s">
        <v>2</v>
      </c>
      <c r="F1" s="16" t="s">
        <v>3</v>
      </c>
      <c r="G1" s="17" t="s">
        <v>4</v>
      </c>
      <c r="H1" s="17" t="s">
        <v>5</v>
      </c>
      <c r="I1" s="16" t="s">
        <v>129</v>
      </c>
      <c r="J1" s="16" t="s">
        <v>7</v>
      </c>
      <c r="K1" s="19" t="s">
        <v>197</v>
      </c>
      <c r="L1" s="19" t="s">
        <v>195</v>
      </c>
      <c r="M1" s="19" t="s">
        <v>8</v>
      </c>
      <c r="N1" s="16" t="s">
        <v>10</v>
      </c>
    </row>
    <row r="2" spans="1:14" x14ac:dyDescent="0.25">
      <c r="A2" t="s">
        <v>23</v>
      </c>
      <c r="B2" t="s">
        <v>44</v>
      </c>
      <c r="C2" t="s">
        <v>12</v>
      </c>
      <c r="D2" s="22">
        <v>0</v>
      </c>
      <c r="E2" s="9" t="s">
        <v>19</v>
      </c>
      <c r="F2" s="9" t="s">
        <v>19</v>
      </c>
      <c r="G2" s="7">
        <v>0.25</v>
      </c>
      <c r="H2" s="7">
        <v>0.75</v>
      </c>
      <c r="I2" s="9" t="s">
        <v>41</v>
      </c>
      <c r="J2" s="11" t="s">
        <v>33</v>
      </c>
      <c r="K2" s="12">
        <v>100000000</v>
      </c>
      <c r="L2" s="12">
        <v>50000000</v>
      </c>
      <c r="M2" s="12">
        <v>40000</v>
      </c>
      <c r="N2" s="9">
        <v>0</v>
      </c>
    </row>
    <row r="3" spans="1:14" x14ac:dyDescent="0.25">
      <c r="A3" t="s">
        <v>47</v>
      </c>
      <c r="B3" t="s">
        <v>48</v>
      </c>
      <c r="C3" t="s">
        <v>12</v>
      </c>
      <c r="D3" s="22">
        <v>0</v>
      </c>
      <c r="E3" s="9" t="s">
        <v>19</v>
      </c>
      <c r="F3" s="9" t="s">
        <v>20</v>
      </c>
      <c r="G3" s="7">
        <v>0.33333333333333331</v>
      </c>
      <c r="H3" s="7">
        <v>0.70833333333333337</v>
      </c>
      <c r="I3" s="9" t="s">
        <v>38</v>
      </c>
      <c r="J3" s="11" t="s">
        <v>49</v>
      </c>
      <c r="K3" s="12">
        <v>3000000</v>
      </c>
      <c r="L3" s="12">
        <v>1000000</v>
      </c>
      <c r="M3" s="12">
        <v>8000</v>
      </c>
      <c r="N3" s="9">
        <v>1950</v>
      </c>
    </row>
    <row r="4" spans="1:14" x14ac:dyDescent="0.25">
      <c r="A4" t="s">
        <v>72</v>
      </c>
      <c r="B4" t="s">
        <v>43</v>
      </c>
      <c r="C4" t="s">
        <v>43</v>
      </c>
      <c r="D4" s="22">
        <v>20</v>
      </c>
      <c r="E4" s="9" t="s">
        <v>19</v>
      </c>
      <c r="F4" s="9" t="s">
        <v>19</v>
      </c>
      <c r="G4" s="7">
        <v>0.41666666666666669</v>
      </c>
      <c r="H4" s="7">
        <v>0.75</v>
      </c>
      <c r="I4" s="9" t="s">
        <v>42</v>
      </c>
      <c r="J4" s="11" t="s">
        <v>28</v>
      </c>
      <c r="K4" s="12">
        <v>5000000</v>
      </c>
      <c r="L4" s="12">
        <v>3000000</v>
      </c>
      <c r="M4" s="12">
        <v>5000</v>
      </c>
      <c r="N4" s="9">
        <v>1678</v>
      </c>
    </row>
    <row r="5" spans="1:14" x14ac:dyDescent="0.25">
      <c r="A5" t="s">
        <v>107</v>
      </c>
      <c r="B5" t="s">
        <v>105</v>
      </c>
      <c r="C5" s="6" t="s">
        <v>25</v>
      </c>
      <c r="D5" s="22">
        <v>20</v>
      </c>
      <c r="E5" s="9" t="s">
        <v>19</v>
      </c>
      <c r="F5" s="9" t="s">
        <v>19</v>
      </c>
      <c r="G5" s="7">
        <v>0.25</v>
      </c>
      <c r="H5" s="7">
        <v>0.75</v>
      </c>
      <c r="I5" s="9" t="s">
        <v>42</v>
      </c>
      <c r="J5" s="11" t="s">
        <v>28</v>
      </c>
      <c r="K5" s="12">
        <v>3000000</v>
      </c>
      <c r="L5" s="12">
        <v>1000000</v>
      </c>
      <c r="M5" s="12">
        <v>5000</v>
      </c>
      <c r="N5" s="9">
        <v>1986</v>
      </c>
    </row>
    <row r="6" spans="1:14" x14ac:dyDescent="0.25">
      <c r="A6" t="s">
        <v>51</v>
      </c>
      <c r="B6" t="s">
        <v>12</v>
      </c>
      <c r="C6" t="s">
        <v>12</v>
      </c>
      <c r="D6" s="22">
        <v>0</v>
      </c>
      <c r="E6" s="9" t="s">
        <v>19</v>
      </c>
      <c r="F6" s="9" t="s">
        <v>19</v>
      </c>
      <c r="G6" s="7">
        <v>0.375</v>
      </c>
      <c r="H6" s="7">
        <v>0.70833333333333337</v>
      </c>
      <c r="I6" s="9" t="s">
        <v>42</v>
      </c>
      <c r="J6" s="11" t="s">
        <v>28</v>
      </c>
      <c r="K6" s="12">
        <v>3500000</v>
      </c>
      <c r="L6" s="12">
        <v>2000000</v>
      </c>
      <c r="M6" s="12">
        <v>2000</v>
      </c>
      <c r="N6" s="9">
        <v>0</v>
      </c>
    </row>
    <row r="7" spans="1:14" ht="13.2" x14ac:dyDescent="0.25">
      <c r="A7" t="s">
        <v>109</v>
      </c>
      <c r="B7" t="s">
        <v>105</v>
      </c>
      <c r="C7" s="6" t="s">
        <v>25</v>
      </c>
      <c r="D7" s="22">
        <v>20</v>
      </c>
      <c r="E7" s="9" t="s">
        <v>19</v>
      </c>
      <c r="F7" s="9" t="s">
        <v>19</v>
      </c>
      <c r="G7" s="7">
        <v>0.25</v>
      </c>
      <c r="H7" s="7">
        <v>0.75</v>
      </c>
      <c r="I7" s="9" t="s">
        <v>38</v>
      </c>
      <c r="J7" s="11" t="s">
        <v>101</v>
      </c>
      <c r="K7" s="20">
        <v>10000000</v>
      </c>
      <c r="L7" s="20">
        <v>5000000</v>
      </c>
      <c r="M7" s="12">
        <v>3000</v>
      </c>
      <c r="N7" s="9">
        <v>0</v>
      </c>
    </row>
    <row r="8" spans="1:14" ht="13.2" x14ac:dyDescent="0.25">
      <c r="A8" t="s">
        <v>52</v>
      </c>
      <c r="B8" t="s">
        <v>12</v>
      </c>
      <c r="C8" t="s">
        <v>12</v>
      </c>
      <c r="D8" s="22">
        <v>0</v>
      </c>
      <c r="E8" s="9" t="s">
        <v>19</v>
      </c>
      <c r="F8" s="9" t="s">
        <v>19</v>
      </c>
      <c r="G8" s="7">
        <v>0.375</v>
      </c>
      <c r="H8" s="7">
        <v>0.70833333333333337</v>
      </c>
      <c r="I8" s="9" t="s">
        <v>149</v>
      </c>
      <c r="J8" s="11" t="s">
        <v>29</v>
      </c>
      <c r="K8" s="20">
        <v>20000000</v>
      </c>
      <c r="L8" s="20">
        <v>10000000</v>
      </c>
      <c r="M8" s="12">
        <v>4000</v>
      </c>
      <c r="N8" s="9">
        <v>1896</v>
      </c>
    </row>
    <row r="9" spans="1:14" ht="13.2" x14ac:dyDescent="0.25">
      <c r="A9" s="5" t="s">
        <v>130</v>
      </c>
      <c r="B9" s="5" t="s">
        <v>14</v>
      </c>
      <c r="C9" s="5" t="s">
        <v>14</v>
      </c>
      <c r="D9" s="22">
        <v>0</v>
      </c>
      <c r="E9" s="10" t="s">
        <v>19</v>
      </c>
      <c r="F9" s="10" t="s">
        <v>19</v>
      </c>
      <c r="G9" s="8">
        <v>0.33333333333333331</v>
      </c>
      <c r="H9" s="8">
        <v>0.70833333333333337</v>
      </c>
      <c r="I9" s="10" t="s">
        <v>41</v>
      </c>
      <c r="J9" s="11" t="s">
        <v>28</v>
      </c>
      <c r="K9" s="12">
        <v>20000000</v>
      </c>
      <c r="L9" s="12">
        <v>5000000</v>
      </c>
      <c r="M9" s="20">
        <v>8000</v>
      </c>
      <c r="N9" s="13">
        <v>1953</v>
      </c>
    </row>
    <row r="10" spans="1:14" ht="13.2" x14ac:dyDescent="0.25">
      <c r="A10" t="s">
        <v>46</v>
      </c>
      <c r="B10" t="s">
        <v>12</v>
      </c>
      <c r="C10" t="s">
        <v>12</v>
      </c>
      <c r="D10" s="22">
        <v>0</v>
      </c>
      <c r="E10" s="9" t="s">
        <v>19</v>
      </c>
      <c r="F10" s="9" t="s">
        <v>19</v>
      </c>
      <c r="G10" s="7">
        <v>0.20833333333333334</v>
      </c>
      <c r="H10" s="7">
        <v>0.875</v>
      </c>
      <c r="I10" s="9" t="s">
        <v>149</v>
      </c>
      <c r="J10" s="11" t="s">
        <v>27</v>
      </c>
      <c r="K10" s="20">
        <v>2000000</v>
      </c>
      <c r="L10" s="20">
        <v>1800000</v>
      </c>
      <c r="M10" s="12">
        <v>5000</v>
      </c>
      <c r="N10" s="9">
        <v>2003</v>
      </c>
    </row>
    <row r="11" spans="1:14" ht="13.2" x14ac:dyDescent="0.25">
      <c r="A11" s="5" t="s">
        <v>168</v>
      </c>
      <c r="B11" s="5" t="s">
        <v>16</v>
      </c>
      <c r="C11" s="5" t="s">
        <v>16</v>
      </c>
      <c r="D11" s="23">
        <v>80</v>
      </c>
      <c r="E11" s="10" t="s">
        <v>20</v>
      </c>
      <c r="F11" s="10" t="s">
        <v>20</v>
      </c>
      <c r="G11" s="8">
        <v>0.29166666666666669</v>
      </c>
      <c r="H11" s="8">
        <v>0.70833333333333337</v>
      </c>
      <c r="I11" s="10" t="s">
        <v>149</v>
      </c>
      <c r="J11" s="11" t="s">
        <v>28</v>
      </c>
      <c r="K11" s="12">
        <v>50000000</v>
      </c>
      <c r="L11" s="12">
        <v>30000000</v>
      </c>
      <c r="M11" s="12">
        <v>12000</v>
      </c>
      <c r="N11" s="14">
        <v>1939</v>
      </c>
    </row>
    <row r="12" spans="1:14" ht="13.2" x14ac:dyDescent="0.25">
      <c r="A12" t="s">
        <v>135</v>
      </c>
      <c r="B12" t="s">
        <v>43</v>
      </c>
      <c r="C12" t="s">
        <v>43</v>
      </c>
      <c r="D12" s="22">
        <v>0</v>
      </c>
      <c r="E12" s="9" t="s">
        <v>19</v>
      </c>
      <c r="F12" s="9" t="s">
        <v>19</v>
      </c>
      <c r="G12" s="7">
        <v>0.33333333333333331</v>
      </c>
      <c r="H12" s="7">
        <v>0.83333333333333337</v>
      </c>
      <c r="I12" s="9" t="s">
        <v>42</v>
      </c>
      <c r="J12" s="11" t="s">
        <v>28</v>
      </c>
      <c r="K12" s="20">
        <v>10000000</v>
      </c>
      <c r="L12" s="20">
        <v>5000000</v>
      </c>
      <c r="M12" s="12">
        <v>5000</v>
      </c>
      <c r="N12" s="9">
        <v>1973</v>
      </c>
    </row>
    <row r="13" spans="1:14" ht="13.2" x14ac:dyDescent="0.25">
      <c r="A13" t="s">
        <v>137</v>
      </c>
      <c r="B13" t="s">
        <v>43</v>
      </c>
      <c r="C13" t="s">
        <v>43</v>
      </c>
      <c r="D13" s="22">
        <v>0</v>
      </c>
      <c r="E13" s="9" t="s">
        <v>19</v>
      </c>
      <c r="F13" s="9" t="s">
        <v>19</v>
      </c>
      <c r="G13" s="7">
        <v>0.33333333333333331</v>
      </c>
      <c r="H13" s="7">
        <v>0.83333333333333337</v>
      </c>
      <c r="I13" s="9" t="s">
        <v>42</v>
      </c>
      <c r="J13" s="11" t="s">
        <v>28</v>
      </c>
      <c r="K13" s="20">
        <v>20000000</v>
      </c>
      <c r="L13" s="20">
        <v>10000000</v>
      </c>
      <c r="M13" s="12">
        <v>5000</v>
      </c>
      <c r="N13" s="9">
        <v>1956</v>
      </c>
    </row>
    <row r="14" spans="1:14" x14ac:dyDescent="0.25">
      <c r="A14" t="s">
        <v>138</v>
      </c>
      <c r="B14" t="s">
        <v>43</v>
      </c>
      <c r="C14" t="s">
        <v>43</v>
      </c>
      <c r="D14" s="22">
        <v>0</v>
      </c>
      <c r="E14" s="9" t="s">
        <v>19</v>
      </c>
      <c r="F14" s="9" t="s">
        <v>19</v>
      </c>
      <c r="G14" s="7">
        <v>0.33333333333333331</v>
      </c>
      <c r="H14" s="7">
        <v>0.83333333333333337</v>
      </c>
      <c r="I14" s="9" t="s">
        <v>42</v>
      </c>
      <c r="J14" s="11" t="s">
        <v>28</v>
      </c>
      <c r="K14" s="12">
        <v>50000000</v>
      </c>
      <c r="L14" s="12">
        <v>30000000</v>
      </c>
      <c r="M14" s="12">
        <v>2000</v>
      </c>
      <c r="N14" s="9">
        <v>1904</v>
      </c>
    </row>
    <row r="15" spans="1:14" ht="13.2" x14ac:dyDescent="0.25">
      <c r="A15" t="s">
        <v>139</v>
      </c>
      <c r="B15" t="s">
        <v>43</v>
      </c>
      <c r="C15" t="s">
        <v>43</v>
      </c>
      <c r="D15" s="22">
        <v>0</v>
      </c>
      <c r="E15" s="9" t="s">
        <v>19</v>
      </c>
      <c r="F15" s="9" t="s">
        <v>20</v>
      </c>
      <c r="G15" s="7">
        <v>0.33333333333333331</v>
      </c>
      <c r="H15" s="7">
        <v>0.75</v>
      </c>
      <c r="I15" s="9" t="s">
        <v>41</v>
      </c>
      <c r="J15" s="11" t="s">
        <v>28</v>
      </c>
      <c r="K15" s="20">
        <v>10000000</v>
      </c>
      <c r="L15" s="12">
        <v>5000000</v>
      </c>
      <c r="M15" s="12">
        <v>3000</v>
      </c>
      <c r="N15" s="9">
        <v>1982</v>
      </c>
    </row>
    <row r="16" spans="1:14" ht="13.2" x14ac:dyDescent="0.25">
      <c r="A16" t="s">
        <v>140</v>
      </c>
      <c r="B16" t="s">
        <v>43</v>
      </c>
      <c r="C16" t="s">
        <v>43</v>
      </c>
      <c r="D16" s="22">
        <v>5</v>
      </c>
      <c r="E16" s="9" t="s">
        <v>19</v>
      </c>
      <c r="F16" s="9" t="s">
        <v>20</v>
      </c>
      <c r="G16" s="7">
        <v>0.41666666666666669</v>
      </c>
      <c r="H16" s="8">
        <v>0.70833333333333337</v>
      </c>
      <c r="I16" s="9" t="s">
        <v>37</v>
      </c>
      <c r="J16" s="11" t="s">
        <v>28</v>
      </c>
      <c r="K16" s="20">
        <v>10000000</v>
      </c>
      <c r="L16" s="20">
        <v>5000000</v>
      </c>
      <c r="M16" s="12">
        <v>4000</v>
      </c>
      <c r="N16" s="9">
        <v>1981</v>
      </c>
    </row>
    <row r="17" spans="1:14" ht="13.2" x14ac:dyDescent="0.25">
      <c r="A17" t="s">
        <v>141</v>
      </c>
      <c r="B17" t="s">
        <v>43</v>
      </c>
      <c r="C17" t="s">
        <v>43</v>
      </c>
      <c r="D17" s="22">
        <v>0</v>
      </c>
      <c r="E17" s="9" t="s">
        <v>19</v>
      </c>
      <c r="F17" s="9" t="s">
        <v>20</v>
      </c>
      <c r="G17" s="7">
        <v>0.41666666666666669</v>
      </c>
      <c r="H17" s="8">
        <v>0.70833333333333337</v>
      </c>
      <c r="I17" s="9" t="s">
        <v>37</v>
      </c>
      <c r="J17" s="11" t="s">
        <v>27</v>
      </c>
      <c r="K17" s="20">
        <v>5000000</v>
      </c>
      <c r="L17" s="20">
        <v>2000000</v>
      </c>
      <c r="M17" s="20">
        <v>8000</v>
      </c>
      <c r="N17" s="9">
        <v>1968</v>
      </c>
    </row>
    <row r="18" spans="1:14" ht="13.2" x14ac:dyDescent="0.25">
      <c r="A18" t="s">
        <v>142</v>
      </c>
      <c r="B18" t="s">
        <v>43</v>
      </c>
      <c r="C18" t="s">
        <v>43</v>
      </c>
      <c r="D18" s="22">
        <v>40</v>
      </c>
      <c r="E18" s="9" t="s">
        <v>19</v>
      </c>
      <c r="F18" s="9" t="s">
        <v>20</v>
      </c>
      <c r="G18" s="7">
        <v>0.4375</v>
      </c>
      <c r="H18" s="7">
        <v>0.6875</v>
      </c>
      <c r="I18" s="9" t="s">
        <v>37</v>
      </c>
      <c r="J18" s="11" t="s">
        <v>28</v>
      </c>
      <c r="K18" s="20">
        <v>10000000</v>
      </c>
      <c r="L18" s="20">
        <v>5000000</v>
      </c>
      <c r="M18" s="12">
        <v>5000</v>
      </c>
      <c r="N18" s="9">
        <v>1872</v>
      </c>
    </row>
    <row r="19" spans="1:14" ht="13.2" x14ac:dyDescent="0.25">
      <c r="A19" t="s">
        <v>143</v>
      </c>
      <c r="B19" t="s">
        <v>43</v>
      </c>
      <c r="C19" t="s">
        <v>43</v>
      </c>
      <c r="D19" s="22">
        <v>0</v>
      </c>
      <c r="E19" s="9" t="s">
        <v>19</v>
      </c>
      <c r="F19" s="9" t="s">
        <v>20</v>
      </c>
      <c r="G19" s="7">
        <v>0.4375</v>
      </c>
      <c r="H19" s="7">
        <v>0.6875</v>
      </c>
      <c r="I19" s="9" t="s">
        <v>37</v>
      </c>
      <c r="J19" s="11" t="s">
        <v>27</v>
      </c>
      <c r="K19" s="20">
        <v>10000000</v>
      </c>
      <c r="L19" s="20">
        <v>5000000</v>
      </c>
      <c r="M19" s="12">
        <v>10000</v>
      </c>
      <c r="N19" s="9">
        <v>1200</v>
      </c>
    </row>
    <row r="20" spans="1:14" ht="13.2" x14ac:dyDescent="0.25">
      <c r="A20" t="s">
        <v>144</v>
      </c>
      <c r="B20" t="s">
        <v>43</v>
      </c>
      <c r="C20" t="s">
        <v>43</v>
      </c>
      <c r="D20" s="22">
        <v>10</v>
      </c>
      <c r="E20" s="9" t="s">
        <v>19</v>
      </c>
      <c r="F20" s="9" t="s">
        <v>20</v>
      </c>
      <c r="G20" s="7">
        <v>0.4375</v>
      </c>
      <c r="H20" s="7">
        <v>0.83333333333333337</v>
      </c>
      <c r="I20" s="9" t="s">
        <v>42</v>
      </c>
      <c r="J20" s="11" t="s">
        <v>36</v>
      </c>
      <c r="K20" s="20">
        <v>10000000</v>
      </c>
      <c r="L20" s="12">
        <v>5000000</v>
      </c>
      <c r="M20" s="12">
        <v>300000</v>
      </c>
      <c r="N20" s="9">
        <v>1700</v>
      </c>
    </row>
    <row r="21" spans="1:14" ht="13.2" x14ac:dyDescent="0.25">
      <c r="A21" t="s">
        <v>73</v>
      </c>
      <c r="B21" t="s">
        <v>43</v>
      </c>
      <c r="C21" t="s">
        <v>43</v>
      </c>
      <c r="D21" s="22">
        <v>0</v>
      </c>
      <c r="E21" s="9" t="s">
        <v>19</v>
      </c>
      <c r="F21" s="9" t="s">
        <v>20</v>
      </c>
      <c r="G21" s="7">
        <v>0.4375</v>
      </c>
      <c r="H21" s="7">
        <v>0.83333333333333337</v>
      </c>
      <c r="I21" s="9" t="s">
        <v>42</v>
      </c>
      <c r="J21" s="11" t="s">
        <v>27</v>
      </c>
      <c r="K21" s="20">
        <v>10000000</v>
      </c>
      <c r="L21" s="20">
        <v>3000000</v>
      </c>
      <c r="M21" s="12">
        <v>3500</v>
      </c>
      <c r="N21" s="9">
        <v>1860</v>
      </c>
    </row>
    <row r="22" spans="1:14" ht="13.2" x14ac:dyDescent="0.25">
      <c r="A22" t="s">
        <v>145</v>
      </c>
      <c r="B22" t="s">
        <v>43</v>
      </c>
      <c r="C22" t="s">
        <v>43</v>
      </c>
      <c r="D22" s="22">
        <v>0</v>
      </c>
      <c r="E22" s="9" t="s">
        <v>19</v>
      </c>
      <c r="F22" s="9" t="s">
        <v>20</v>
      </c>
      <c r="G22" s="7">
        <v>0.4375</v>
      </c>
      <c r="H22" s="7">
        <v>0.83333333333333337</v>
      </c>
      <c r="I22" s="9" t="s">
        <v>42</v>
      </c>
      <c r="J22" s="11" t="s">
        <v>27</v>
      </c>
      <c r="K22" s="20">
        <v>2000000</v>
      </c>
      <c r="L22" s="20">
        <v>1800000</v>
      </c>
      <c r="M22" s="12">
        <v>2000</v>
      </c>
      <c r="N22" s="9">
        <v>1781</v>
      </c>
    </row>
    <row r="23" spans="1:14" x14ac:dyDescent="0.25">
      <c r="A23" t="s">
        <v>146</v>
      </c>
      <c r="B23" t="s">
        <v>147</v>
      </c>
      <c r="C23" t="s">
        <v>43</v>
      </c>
      <c r="D23" s="22">
        <v>15</v>
      </c>
      <c r="E23" s="9" t="s">
        <v>19</v>
      </c>
      <c r="F23" s="9" t="s">
        <v>19</v>
      </c>
      <c r="G23" s="7">
        <v>0.4375</v>
      </c>
      <c r="H23" s="7">
        <v>0.83333333333333337</v>
      </c>
      <c r="I23" s="9" t="s">
        <v>42</v>
      </c>
      <c r="J23" s="11" t="s">
        <v>28</v>
      </c>
      <c r="K23" s="12">
        <v>5000000</v>
      </c>
      <c r="L23" s="12">
        <v>1000000</v>
      </c>
      <c r="M23" s="12">
        <v>5000</v>
      </c>
      <c r="N23" s="9">
        <v>1300</v>
      </c>
    </row>
    <row r="24" spans="1:14" ht="13.2" x14ac:dyDescent="0.25">
      <c r="A24" t="s">
        <v>108</v>
      </c>
      <c r="B24" t="s">
        <v>105</v>
      </c>
      <c r="C24" s="6" t="s">
        <v>25</v>
      </c>
      <c r="D24" s="22">
        <v>0</v>
      </c>
      <c r="E24" s="9" t="s">
        <v>19</v>
      </c>
      <c r="F24" s="9" t="s">
        <v>19</v>
      </c>
      <c r="G24" s="7">
        <v>0.25</v>
      </c>
      <c r="H24" s="7">
        <v>0.75</v>
      </c>
      <c r="I24" s="9" t="s">
        <v>37</v>
      </c>
      <c r="J24" s="11" t="s">
        <v>27</v>
      </c>
      <c r="K24" s="20">
        <v>2000000</v>
      </c>
      <c r="L24" s="20">
        <v>1500000</v>
      </c>
      <c r="M24" s="12">
        <v>3000</v>
      </c>
      <c r="N24" s="9">
        <v>1977</v>
      </c>
    </row>
    <row r="25" spans="1:14" ht="13.2" x14ac:dyDescent="0.25">
      <c r="A25" s="5" t="s">
        <v>90</v>
      </c>
      <c r="B25" s="5" t="s">
        <v>14</v>
      </c>
      <c r="C25" s="5" t="s">
        <v>14</v>
      </c>
      <c r="D25" s="23">
        <v>20</v>
      </c>
      <c r="E25" s="10" t="s">
        <v>19</v>
      </c>
      <c r="F25" s="10" t="s">
        <v>20</v>
      </c>
      <c r="G25" s="8">
        <v>0.33333333333333331</v>
      </c>
      <c r="H25" s="8">
        <v>0.70833333333333337</v>
      </c>
      <c r="I25" s="10" t="s">
        <v>41</v>
      </c>
      <c r="J25" s="11" t="s">
        <v>28</v>
      </c>
      <c r="K25" s="20">
        <v>10000000</v>
      </c>
      <c r="L25" s="20">
        <v>5000000</v>
      </c>
      <c r="M25" s="12">
        <v>10000</v>
      </c>
      <c r="N25" s="13">
        <v>1895</v>
      </c>
    </row>
    <row r="26" spans="1:14" ht="13.2" x14ac:dyDescent="0.25">
      <c r="A26" s="5" t="s">
        <v>165</v>
      </c>
      <c r="B26" s="5" t="s">
        <v>183</v>
      </c>
      <c r="C26" s="5" t="s">
        <v>16</v>
      </c>
      <c r="D26" s="23">
        <v>100</v>
      </c>
      <c r="E26" s="10" t="s">
        <v>20</v>
      </c>
      <c r="F26" s="10" t="s">
        <v>20</v>
      </c>
      <c r="G26" s="8">
        <v>0.41666666666666669</v>
      </c>
      <c r="H26" s="8">
        <v>0.66666666666666663</v>
      </c>
      <c r="I26" s="10" t="s">
        <v>41</v>
      </c>
      <c r="J26" s="11" t="s">
        <v>33</v>
      </c>
      <c r="K26" s="20">
        <v>50000000</v>
      </c>
      <c r="L26" s="12">
        <v>20000000</v>
      </c>
      <c r="M26" s="20">
        <v>15000</v>
      </c>
      <c r="N26" s="9">
        <v>0</v>
      </c>
    </row>
    <row r="27" spans="1:14" x14ac:dyDescent="0.25">
      <c r="A27" t="s">
        <v>53</v>
      </c>
      <c r="B27" t="s">
        <v>12</v>
      </c>
      <c r="C27" t="s">
        <v>12</v>
      </c>
      <c r="D27" s="22">
        <v>0</v>
      </c>
      <c r="E27" s="9" t="s">
        <v>19</v>
      </c>
      <c r="F27" s="9" t="s">
        <v>19</v>
      </c>
      <c r="G27" s="7">
        <v>0.20833333333333334</v>
      </c>
      <c r="H27" s="7">
        <v>0.875</v>
      </c>
      <c r="I27" s="9" t="s">
        <v>37</v>
      </c>
      <c r="J27" s="11" t="s">
        <v>27</v>
      </c>
      <c r="K27" s="12">
        <v>3500000</v>
      </c>
      <c r="L27" s="12">
        <v>2000000</v>
      </c>
      <c r="M27" s="12">
        <v>2000</v>
      </c>
      <c r="N27" s="9">
        <v>1910</v>
      </c>
    </row>
    <row r="28" spans="1:14" ht="13.2" x14ac:dyDescent="0.25">
      <c r="A28" t="s">
        <v>54</v>
      </c>
      <c r="B28" t="s">
        <v>12</v>
      </c>
      <c r="C28" t="s">
        <v>12</v>
      </c>
      <c r="D28" s="22">
        <v>0</v>
      </c>
      <c r="E28" s="9" t="s">
        <v>19</v>
      </c>
      <c r="F28" s="9" t="s">
        <v>19</v>
      </c>
      <c r="G28" s="7">
        <v>0.375</v>
      </c>
      <c r="H28" s="7">
        <v>0.70833333333333337</v>
      </c>
      <c r="I28" s="9" t="s">
        <v>149</v>
      </c>
      <c r="J28" s="11" t="s">
        <v>28</v>
      </c>
      <c r="K28" s="20">
        <v>10000000</v>
      </c>
      <c r="L28" s="20">
        <v>5000000</v>
      </c>
      <c r="M28" s="12">
        <v>1500</v>
      </c>
      <c r="N28" s="9">
        <v>1908</v>
      </c>
    </row>
    <row r="29" spans="1:14" ht="13.2" x14ac:dyDescent="0.25">
      <c r="A29" s="5" t="s">
        <v>156</v>
      </c>
      <c r="B29" s="5" t="s">
        <v>17</v>
      </c>
      <c r="C29" s="5" t="s">
        <v>17</v>
      </c>
      <c r="D29" s="23">
        <v>30</v>
      </c>
      <c r="E29" s="10" t="s">
        <v>20</v>
      </c>
      <c r="F29" s="10" t="s">
        <v>20</v>
      </c>
      <c r="G29" s="8">
        <v>0.33333333333333331</v>
      </c>
      <c r="H29" s="8">
        <v>0.70833333333333337</v>
      </c>
      <c r="I29" s="10" t="s">
        <v>38</v>
      </c>
      <c r="J29" s="11" t="s">
        <v>36</v>
      </c>
      <c r="K29" s="20">
        <v>40000000</v>
      </c>
      <c r="L29" s="20">
        <v>20000000</v>
      </c>
      <c r="M29" s="20">
        <v>20000</v>
      </c>
      <c r="N29" s="9">
        <v>0</v>
      </c>
    </row>
    <row r="30" spans="1:14" ht="13.2" x14ac:dyDescent="0.25">
      <c r="A30" s="5" t="s">
        <v>182</v>
      </c>
      <c r="B30" s="5" t="s">
        <v>184</v>
      </c>
      <c r="C30" s="6" t="s">
        <v>15</v>
      </c>
      <c r="D30" s="23">
        <v>20</v>
      </c>
      <c r="E30" s="10" t="s">
        <v>20</v>
      </c>
      <c r="F30" s="10" t="s">
        <v>20</v>
      </c>
      <c r="G30" s="8">
        <v>0.375</v>
      </c>
      <c r="H30" s="8">
        <v>0.70833333333333337</v>
      </c>
      <c r="I30" s="10" t="s">
        <v>41</v>
      </c>
      <c r="J30" s="11" t="s">
        <v>27</v>
      </c>
      <c r="K30" s="20">
        <v>10000000</v>
      </c>
      <c r="L30" s="20">
        <v>5000000</v>
      </c>
      <c r="M30" s="20">
        <v>12000</v>
      </c>
      <c r="N30" s="14">
        <v>1722</v>
      </c>
    </row>
    <row r="31" spans="1:14" ht="13.2" x14ac:dyDescent="0.25">
      <c r="A31" s="5" t="s">
        <v>153</v>
      </c>
      <c r="B31" s="5" t="s">
        <v>17</v>
      </c>
      <c r="C31" s="5" t="s">
        <v>17</v>
      </c>
      <c r="D31" s="22">
        <v>0</v>
      </c>
      <c r="E31" s="10" t="s">
        <v>19</v>
      </c>
      <c r="F31" s="10" t="s">
        <v>20</v>
      </c>
      <c r="G31" s="8">
        <v>24</v>
      </c>
      <c r="H31" s="8" t="s">
        <v>136</v>
      </c>
      <c r="I31" s="10" t="s">
        <v>41</v>
      </c>
      <c r="J31" s="11" t="s">
        <v>27</v>
      </c>
      <c r="K31" s="20">
        <v>10000000</v>
      </c>
      <c r="L31" s="20">
        <v>3000000</v>
      </c>
      <c r="M31" s="12">
        <v>1000000</v>
      </c>
      <c r="N31" s="14">
        <v>1346</v>
      </c>
    </row>
    <row r="32" spans="1:14" ht="13.2" x14ac:dyDescent="0.25">
      <c r="A32" s="5" t="s">
        <v>154</v>
      </c>
      <c r="B32" s="5" t="s">
        <v>17</v>
      </c>
      <c r="C32" s="5" t="s">
        <v>17</v>
      </c>
      <c r="D32" s="23">
        <v>50</v>
      </c>
      <c r="E32" s="10" t="s">
        <v>20</v>
      </c>
      <c r="F32" s="10" t="s">
        <v>20</v>
      </c>
      <c r="G32" s="8">
        <v>0.33333333333333331</v>
      </c>
      <c r="H32" s="8">
        <v>0.70833333333333337</v>
      </c>
      <c r="I32" s="10" t="s">
        <v>38</v>
      </c>
      <c r="J32" s="11" t="s">
        <v>35</v>
      </c>
      <c r="K32" s="20">
        <v>30000000</v>
      </c>
      <c r="L32" s="20">
        <v>10000000</v>
      </c>
      <c r="M32" s="20">
        <v>10000</v>
      </c>
      <c r="N32" s="9">
        <v>0</v>
      </c>
    </row>
    <row r="33" spans="1:14" ht="13.2" x14ac:dyDescent="0.25">
      <c r="A33" s="5" t="s">
        <v>22</v>
      </c>
      <c r="B33" s="5" t="s">
        <v>186</v>
      </c>
      <c r="C33" s="5" t="s">
        <v>17</v>
      </c>
      <c r="D33" s="23">
        <v>30</v>
      </c>
      <c r="E33" s="10" t="s">
        <v>20</v>
      </c>
      <c r="F33" s="10" t="s">
        <v>20</v>
      </c>
      <c r="G33" s="8">
        <v>0.29166666666666669</v>
      </c>
      <c r="H33" s="8">
        <v>0.72916666666666663</v>
      </c>
      <c r="I33" s="10" t="s">
        <v>41</v>
      </c>
      <c r="J33" s="11" t="s">
        <v>31</v>
      </c>
      <c r="K33" s="20">
        <v>20000000</v>
      </c>
      <c r="L33" s="20">
        <v>10000000</v>
      </c>
      <c r="M33" s="20">
        <v>12000</v>
      </c>
      <c r="N33" s="9">
        <v>0</v>
      </c>
    </row>
    <row r="34" spans="1:14" x14ac:dyDescent="0.25">
      <c r="A34" t="s">
        <v>110</v>
      </c>
      <c r="B34" t="s">
        <v>105</v>
      </c>
      <c r="C34" s="6" t="s">
        <v>25</v>
      </c>
      <c r="D34" s="22">
        <v>0</v>
      </c>
      <c r="E34" s="9" t="s">
        <v>19</v>
      </c>
      <c r="F34" s="9" t="s">
        <v>19</v>
      </c>
      <c r="G34" s="7">
        <v>0.25</v>
      </c>
      <c r="H34" s="7">
        <v>0.75</v>
      </c>
      <c r="I34" s="9" t="s">
        <v>38</v>
      </c>
      <c r="J34" s="11" t="s">
        <v>101</v>
      </c>
      <c r="K34" s="12">
        <v>3500000</v>
      </c>
      <c r="L34" s="12">
        <v>2000000</v>
      </c>
      <c r="M34" s="12">
        <v>3000</v>
      </c>
      <c r="N34" s="9">
        <v>0</v>
      </c>
    </row>
    <row r="35" spans="1:14" ht="13.2" x14ac:dyDescent="0.25">
      <c r="A35" t="s">
        <v>84</v>
      </c>
      <c r="B35" s="5" t="s">
        <v>18</v>
      </c>
      <c r="C35" s="5" t="s">
        <v>18</v>
      </c>
      <c r="D35" s="23">
        <v>15</v>
      </c>
      <c r="E35" s="10" t="s">
        <v>19</v>
      </c>
      <c r="F35" s="10" t="s">
        <v>20</v>
      </c>
      <c r="G35" s="8">
        <v>0.41666666666666669</v>
      </c>
      <c r="H35" s="8">
        <v>0.70833333333333337</v>
      </c>
      <c r="I35" s="10" t="s">
        <v>37</v>
      </c>
      <c r="J35" s="11" t="s">
        <v>28</v>
      </c>
      <c r="K35" s="20">
        <v>10000000</v>
      </c>
      <c r="L35" s="20">
        <v>5000000</v>
      </c>
      <c r="M35" s="20">
        <v>8000</v>
      </c>
      <c r="N35" s="14">
        <v>1905</v>
      </c>
    </row>
    <row r="36" spans="1:14" ht="13.2" x14ac:dyDescent="0.25">
      <c r="A36" s="5" t="s">
        <v>187</v>
      </c>
      <c r="B36" s="5" t="s">
        <v>170</v>
      </c>
      <c r="C36" s="5" t="s">
        <v>16</v>
      </c>
      <c r="D36" s="23">
        <v>10</v>
      </c>
      <c r="E36" s="10" t="s">
        <v>19</v>
      </c>
      <c r="F36" s="10" t="s">
        <v>19</v>
      </c>
      <c r="G36" s="8">
        <v>0.33333333333333331</v>
      </c>
      <c r="H36" s="8">
        <v>0.70833333333333337</v>
      </c>
      <c r="I36" s="10" t="s">
        <v>41</v>
      </c>
      <c r="J36" s="11" t="s">
        <v>28</v>
      </c>
      <c r="K36" s="20">
        <v>20000000</v>
      </c>
      <c r="L36" s="20">
        <v>10000000</v>
      </c>
      <c r="M36" s="20">
        <v>20000</v>
      </c>
      <c r="N36" s="14">
        <v>700</v>
      </c>
    </row>
    <row r="37" spans="1:14" x14ac:dyDescent="0.25">
      <c r="A37" t="s">
        <v>150</v>
      </c>
      <c r="B37" t="s">
        <v>43</v>
      </c>
      <c r="C37" t="s">
        <v>43</v>
      </c>
      <c r="D37" s="22">
        <v>50</v>
      </c>
      <c r="E37" s="9" t="s">
        <v>19</v>
      </c>
      <c r="F37" s="9" t="s">
        <v>19</v>
      </c>
      <c r="G37" s="7">
        <v>0.25</v>
      </c>
      <c r="H37" s="7">
        <v>0.75</v>
      </c>
      <c r="I37" s="9" t="s">
        <v>42</v>
      </c>
      <c r="J37" s="11" t="s">
        <v>29</v>
      </c>
      <c r="K37" s="12">
        <v>50000000</v>
      </c>
      <c r="L37" s="12">
        <v>30000000</v>
      </c>
      <c r="M37" s="12">
        <v>5000</v>
      </c>
      <c r="N37" s="9">
        <v>1974</v>
      </c>
    </row>
    <row r="38" spans="1:14" ht="13.2" x14ac:dyDescent="0.25">
      <c r="A38" t="s">
        <v>79</v>
      </c>
      <c r="B38" t="s">
        <v>43</v>
      </c>
      <c r="C38" t="s">
        <v>43</v>
      </c>
      <c r="D38" s="22">
        <v>0</v>
      </c>
      <c r="E38" s="9" t="s">
        <v>19</v>
      </c>
      <c r="F38" s="9" t="s">
        <v>19</v>
      </c>
      <c r="G38" s="7">
        <v>0.25</v>
      </c>
      <c r="H38" s="7">
        <v>0.75</v>
      </c>
      <c r="I38" s="9" t="s">
        <v>37</v>
      </c>
      <c r="J38" s="11" t="s">
        <v>29</v>
      </c>
      <c r="K38" s="20">
        <v>10000000</v>
      </c>
      <c r="L38" s="12">
        <v>5000000</v>
      </c>
      <c r="M38" s="12">
        <v>4000</v>
      </c>
      <c r="N38" s="9">
        <v>0</v>
      </c>
    </row>
    <row r="39" spans="1:14" ht="13.2" x14ac:dyDescent="0.25">
      <c r="A39" s="5" t="s">
        <v>160</v>
      </c>
      <c r="B39" s="5" t="s">
        <v>17</v>
      </c>
      <c r="C39" s="5" t="s">
        <v>17</v>
      </c>
      <c r="D39" s="23">
        <v>20</v>
      </c>
      <c r="E39" s="10" t="s">
        <v>20</v>
      </c>
      <c r="F39" s="10" t="s">
        <v>20</v>
      </c>
      <c r="G39" s="8">
        <v>24</v>
      </c>
      <c r="H39" s="8" t="s">
        <v>136</v>
      </c>
      <c r="I39" s="10" t="s">
        <v>41</v>
      </c>
      <c r="J39" s="11" t="s">
        <v>27</v>
      </c>
      <c r="K39" s="20">
        <v>10000000</v>
      </c>
      <c r="L39" s="20">
        <v>5000000</v>
      </c>
      <c r="M39" s="12">
        <v>1000000</v>
      </c>
      <c r="N39" s="14">
        <v>1380</v>
      </c>
    </row>
    <row r="40" spans="1:14" ht="13.2" x14ac:dyDescent="0.25">
      <c r="A40" t="s">
        <v>133</v>
      </c>
      <c r="B40" t="s">
        <v>57</v>
      </c>
      <c r="C40" t="s">
        <v>12</v>
      </c>
      <c r="D40" s="22">
        <v>30</v>
      </c>
      <c r="E40" s="9" t="s">
        <v>134</v>
      </c>
      <c r="F40" s="9" t="s">
        <v>19</v>
      </c>
      <c r="G40" s="7">
        <v>0.375</v>
      </c>
      <c r="H40" s="7">
        <v>0.70833333333333337</v>
      </c>
      <c r="I40" s="10" t="s">
        <v>37</v>
      </c>
      <c r="J40" s="11" t="s">
        <v>29</v>
      </c>
      <c r="K40" s="20">
        <v>5000000</v>
      </c>
      <c r="L40" s="20">
        <v>2000000</v>
      </c>
      <c r="M40" s="12">
        <v>2014</v>
      </c>
      <c r="N40" s="9">
        <v>2014</v>
      </c>
    </row>
    <row r="41" spans="1:14" ht="13.2" x14ac:dyDescent="0.25">
      <c r="A41" t="s">
        <v>87</v>
      </c>
      <c r="B41" s="5" t="s">
        <v>18</v>
      </c>
      <c r="C41" s="5" t="s">
        <v>18</v>
      </c>
      <c r="D41" s="23">
        <v>40</v>
      </c>
      <c r="E41" s="10" t="s">
        <v>20</v>
      </c>
      <c r="F41" s="10" t="s">
        <v>20</v>
      </c>
      <c r="G41" s="8">
        <v>0.35416666666666669</v>
      </c>
      <c r="H41" s="8">
        <v>0.70833333333333337</v>
      </c>
      <c r="I41" s="10" t="s">
        <v>149</v>
      </c>
      <c r="J41" s="11" t="s">
        <v>32</v>
      </c>
      <c r="K41" s="20">
        <v>10000000</v>
      </c>
      <c r="L41" s="20">
        <v>5000000</v>
      </c>
      <c r="M41" s="20">
        <v>8000</v>
      </c>
      <c r="N41" s="14">
        <v>1975</v>
      </c>
    </row>
    <row r="42" spans="1:14" ht="13.2" x14ac:dyDescent="0.25">
      <c r="A42" s="5" t="s">
        <v>161</v>
      </c>
      <c r="B42" s="5" t="s">
        <v>162</v>
      </c>
      <c r="C42" s="5" t="s">
        <v>17</v>
      </c>
      <c r="D42" s="23">
        <v>50</v>
      </c>
      <c r="E42" s="10" t="s">
        <v>20</v>
      </c>
      <c r="F42" s="10" t="s">
        <v>20</v>
      </c>
      <c r="G42" s="8">
        <v>0.29166666666666669</v>
      </c>
      <c r="H42" s="8">
        <v>0.70833333333333337</v>
      </c>
      <c r="I42" s="10" t="s">
        <v>41</v>
      </c>
      <c r="J42" s="11" t="s">
        <v>29</v>
      </c>
      <c r="K42" s="20">
        <v>10000000</v>
      </c>
      <c r="L42" s="20">
        <v>5000000</v>
      </c>
      <c r="M42" s="20">
        <v>10000</v>
      </c>
      <c r="N42" s="14">
        <v>1856</v>
      </c>
    </row>
    <row r="43" spans="1:14" ht="13.2" x14ac:dyDescent="0.25">
      <c r="A43" t="s">
        <v>68</v>
      </c>
      <c r="B43" t="s">
        <v>44</v>
      </c>
      <c r="C43" t="s">
        <v>12</v>
      </c>
      <c r="D43" s="22">
        <v>20</v>
      </c>
      <c r="E43" s="9" t="s">
        <v>19</v>
      </c>
      <c r="F43" s="9" t="s">
        <v>19</v>
      </c>
      <c r="G43" s="7">
        <v>0.25</v>
      </c>
      <c r="H43" s="7">
        <v>0.75</v>
      </c>
      <c r="I43" s="9" t="s">
        <v>42</v>
      </c>
      <c r="J43" s="11" t="s">
        <v>29</v>
      </c>
      <c r="K43" s="20">
        <v>10000000</v>
      </c>
      <c r="L43" s="12">
        <v>5000000</v>
      </c>
      <c r="M43" s="12">
        <v>5000</v>
      </c>
      <c r="N43" s="9">
        <v>2005</v>
      </c>
    </row>
    <row r="44" spans="1:14" ht="13.2" x14ac:dyDescent="0.25">
      <c r="A44" s="5" t="s">
        <v>189</v>
      </c>
      <c r="B44" s="5" t="s">
        <v>13</v>
      </c>
      <c r="C44" s="5" t="s">
        <v>13</v>
      </c>
      <c r="D44" s="22">
        <v>0</v>
      </c>
      <c r="E44" s="10" t="s">
        <v>19</v>
      </c>
      <c r="F44" s="10" t="s">
        <v>20</v>
      </c>
      <c r="G44" s="8" t="s">
        <v>136</v>
      </c>
      <c r="H44" s="8" t="s">
        <v>136</v>
      </c>
      <c r="I44" s="10" t="s">
        <v>149</v>
      </c>
      <c r="J44" s="11" t="s">
        <v>28</v>
      </c>
      <c r="K44" s="20">
        <v>10000000</v>
      </c>
      <c r="L44" s="20">
        <v>3000000</v>
      </c>
      <c r="M44" s="20">
        <v>20000</v>
      </c>
      <c r="N44" s="14">
        <v>2005</v>
      </c>
    </row>
    <row r="45" spans="1:14" ht="13.2" x14ac:dyDescent="0.25">
      <c r="A45" t="s">
        <v>60</v>
      </c>
      <c r="B45" t="s">
        <v>59</v>
      </c>
      <c r="C45" t="s">
        <v>12</v>
      </c>
      <c r="D45" s="22">
        <v>0</v>
      </c>
      <c r="E45" s="9" t="s">
        <v>19</v>
      </c>
      <c r="F45" s="9" t="s">
        <v>19</v>
      </c>
      <c r="G45" s="7">
        <v>0.20833333333333334</v>
      </c>
      <c r="H45" s="7">
        <v>0.875</v>
      </c>
      <c r="I45" s="9" t="s">
        <v>149</v>
      </c>
      <c r="J45" s="11" t="s">
        <v>27</v>
      </c>
      <c r="K45" s="20">
        <v>2000000</v>
      </c>
      <c r="L45" s="20">
        <v>1800000</v>
      </c>
      <c r="M45" s="12">
        <v>2000</v>
      </c>
      <c r="N45" s="9">
        <v>1700</v>
      </c>
    </row>
    <row r="46" spans="1:14" ht="13.2" x14ac:dyDescent="0.25">
      <c r="A46" s="5" t="s">
        <v>83</v>
      </c>
      <c r="B46" s="5" t="s">
        <v>147</v>
      </c>
      <c r="C46" s="6" t="s">
        <v>43</v>
      </c>
      <c r="D46" s="23">
        <v>30</v>
      </c>
      <c r="E46" s="10" t="s">
        <v>19</v>
      </c>
      <c r="F46" s="10" t="s">
        <v>19</v>
      </c>
      <c r="G46" s="8">
        <v>0.375</v>
      </c>
      <c r="H46" s="8">
        <v>0.70833333333333337</v>
      </c>
      <c r="I46" s="10" t="s">
        <v>149</v>
      </c>
      <c r="J46" s="11" t="s">
        <v>32</v>
      </c>
      <c r="K46" s="20">
        <v>20000000</v>
      </c>
      <c r="L46" s="20">
        <v>10000000</v>
      </c>
      <c r="M46" s="20">
        <v>30000</v>
      </c>
      <c r="N46" s="14">
        <v>1975</v>
      </c>
    </row>
    <row r="47" spans="1:14" ht="13.2" x14ac:dyDescent="0.25">
      <c r="A47" s="5" t="s">
        <v>148</v>
      </c>
      <c r="B47" s="5" t="s">
        <v>43</v>
      </c>
      <c r="C47" s="5" t="s">
        <v>43</v>
      </c>
      <c r="D47" s="23">
        <v>40000</v>
      </c>
      <c r="E47" s="10" t="s">
        <v>19</v>
      </c>
      <c r="F47" s="10" t="s">
        <v>20</v>
      </c>
      <c r="G47" s="8">
        <v>0.4375</v>
      </c>
      <c r="H47" s="7">
        <v>0.83333333333333337</v>
      </c>
      <c r="I47" s="10" t="s">
        <v>149</v>
      </c>
      <c r="J47" s="11" t="s">
        <v>29</v>
      </c>
      <c r="K47" s="20">
        <v>30000000</v>
      </c>
      <c r="L47" s="20">
        <v>10000000</v>
      </c>
      <c r="M47" s="20">
        <v>5000</v>
      </c>
      <c r="N47" s="14">
        <v>1965</v>
      </c>
    </row>
    <row r="48" spans="1:14" ht="13.2" x14ac:dyDescent="0.25">
      <c r="A48" s="5" t="s">
        <v>188</v>
      </c>
      <c r="B48" s="5" t="s">
        <v>167</v>
      </c>
      <c r="C48" s="5" t="s">
        <v>16</v>
      </c>
      <c r="D48" s="23">
        <v>20</v>
      </c>
      <c r="E48" s="10" t="s">
        <v>19</v>
      </c>
      <c r="F48" s="10" t="s">
        <v>20</v>
      </c>
      <c r="G48" s="8">
        <v>0.25</v>
      </c>
      <c r="H48" s="8">
        <v>0.75</v>
      </c>
      <c r="I48" s="10" t="s">
        <v>42</v>
      </c>
      <c r="J48" s="11" t="s">
        <v>33</v>
      </c>
      <c r="K48" s="12">
        <v>50000000</v>
      </c>
      <c r="L48" s="20">
        <v>30000000</v>
      </c>
      <c r="M48" s="20">
        <v>25000</v>
      </c>
      <c r="N48" s="14">
        <v>2017</v>
      </c>
    </row>
    <row r="49" spans="1:14" ht="13.2" x14ac:dyDescent="0.25">
      <c r="A49" t="s">
        <v>58</v>
      </c>
      <c r="B49" t="s">
        <v>59</v>
      </c>
      <c r="C49" t="s">
        <v>12</v>
      </c>
      <c r="D49" s="22">
        <v>0</v>
      </c>
      <c r="E49" s="9" t="s">
        <v>19</v>
      </c>
      <c r="F49" s="9" t="s">
        <v>19</v>
      </c>
      <c r="G49" s="7">
        <v>0.25</v>
      </c>
      <c r="H49" s="7">
        <v>0.75</v>
      </c>
      <c r="I49" s="9" t="s">
        <v>37</v>
      </c>
      <c r="J49" s="11" t="s">
        <v>29</v>
      </c>
      <c r="K49" s="20">
        <v>2000000</v>
      </c>
      <c r="L49" s="20">
        <v>1800000</v>
      </c>
      <c r="M49" s="12">
        <v>5000</v>
      </c>
      <c r="N49" s="9">
        <v>1967</v>
      </c>
    </row>
    <row r="50" spans="1:14" ht="13.2" x14ac:dyDescent="0.25">
      <c r="A50" s="5" t="s">
        <v>173</v>
      </c>
      <c r="B50" s="5" t="s">
        <v>14</v>
      </c>
      <c r="C50" s="5" t="s">
        <v>14</v>
      </c>
      <c r="D50" s="23">
        <v>20</v>
      </c>
      <c r="E50" s="10" t="s">
        <v>20</v>
      </c>
      <c r="F50" s="10" t="s">
        <v>20</v>
      </c>
      <c r="G50" s="8">
        <v>0.29166666666666669</v>
      </c>
      <c r="H50" s="8">
        <v>0.70833333333333337</v>
      </c>
      <c r="I50" s="10" t="s">
        <v>38</v>
      </c>
      <c r="J50" s="11" t="s">
        <v>28</v>
      </c>
      <c r="K50" s="20">
        <v>2000000</v>
      </c>
      <c r="L50" s="20">
        <v>1500000</v>
      </c>
      <c r="M50" s="20">
        <v>12000</v>
      </c>
      <c r="N50" s="14">
        <v>1734</v>
      </c>
    </row>
    <row r="51" spans="1:14" ht="13.2" x14ac:dyDescent="0.25">
      <c r="A51" t="s">
        <v>92</v>
      </c>
      <c r="B51" t="s">
        <v>93</v>
      </c>
      <c r="C51" s="6" t="s">
        <v>25</v>
      </c>
      <c r="D51" s="22">
        <v>50</v>
      </c>
      <c r="E51" s="9" t="s">
        <v>19</v>
      </c>
      <c r="F51" s="9" t="s">
        <v>19</v>
      </c>
      <c r="G51" s="7">
        <v>0.25</v>
      </c>
      <c r="H51" s="7">
        <v>0.75</v>
      </c>
      <c r="I51" s="9" t="s">
        <v>41</v>
      </c>
      <c r="J51" s="11" t="s">
        <v>29</v>
      </c>
      <c r="K51" s="20">
        <v>2000000</v>
      </c>
      <c r="L51" s="20">
        <v>1500000</v>
      </c>
      <c r="M51" s="12">
        <v>5000</v>
      </c>
      <c r="N51" s="9">
        <v>0</v>
      </c>
    </row>
    <row r="52" spans="1:14" ht="13.2" x14ac:dyDescent="0.25">
      <c r="A52" t="s">
        <v>94</v>
      </c>
      <c r="B52" t="s">
        <v>93</v>
      </c>
      <c r="C52" s="6" t="s">
        <v>25</v>
      </c>
      <c r="D52" s="22">
        <v>0</v>
      </c>
      <c r="E52" s="9" t="s">
        <v>19</v>
      </c>
      <c r="F52" s="9" t="s">
        <v>19</v>
      </c>
      <c r="G52" s="7">
        <v>0.25</v>
      </c>
      <c r="H52" s="7">
        <v>0.75</v>
      </c>
      <c r="I52" s="9" t="s">
        <v>41</v>
      </c>
      <c r="J52" s="11" t="s">
        <v>29</v>
      </c>
      <c r="K52" s="20">
        <v>2000000</v>
      </c>
      <c r="L52" s="20">
        <v>1800000</v>
      </c>
      <c r="M52" s="12">
        <v>4000</v>
      </c>
      <c r="N52" s="9">
        <v>0</v>
      </c>
    </row>
    <row r="53" spans="1:14" ht="13.2" x14ac:dyDescent="0.25">
      <c r="A53" t="s">
        <v>95</v>
      </c>
      <c r="B53" t="s">
        <v>93</v>
      </c>
      <c r="C53" s="6" t="s">
        <v>25</v>
      </c>
      <c r="D53" s="22">
        <v>50</v>
      </c>
      <c r="E53" s="9" t="s">
        <v>19</v>
      </c>
      <c r="F53" s="9" t="s">
        <v>19</v>
      </c>
      <c r="G53" s="7">
        <v>0.25</v>
      </c>
      <c r="H53" s="7">
        <v>0.75</v>
      </c>
      <c r="I53" s="9" t="s">
        <v>37</v>
      </c>
      <c r="J53" s="11" t="s">
        <v>36</v>
      </c>
      <c r="K53" s="20">
        <v>20000000</v>
      </c>
      <c r="L53" s="12">
        <v>10000000</v>
      </c>
      <c r="M53" s="12">
        <v>15000</v>
      </c>
      <c r="N53" s="9">
        <v>0</v>
      </c>
    </row>
    <row r="54" spans="1:14" x14ac:dyDescent="0.25">
      <c r="A54" t="s">
        <v>96</v>
      </c>
      <c r="B54" t="s">
        <v>93</v>
      </c>
      <c r="C54" s="6" t="s">
        <v>25</v>
      </c>
      <c r="D54" s="22">
        <v>50</v>
      </c>
      <c r="E54" s="9" t="s">
        <v>19</v>
      </c>
      <c r="F54" s="9" t="s">
        <v>19</v>
      </c>
      <c r="G54" s="7">
        <v>0.25</v>
      </c>
      <c r="H54" s="7">
        <v>0.75</v>
      </c>
      <c r="I54" s="9" t="s">
        <v>41</v>
      </c>
      <c r="J54" s="11" t="s">
        <v>29</v>
      </c>
      <c r="K54" s="12">
        <v>5000000</v>
      </c>
      <c r="L54" s="12">
        <v>10000000</v>
      </c>
      <c r="M54" s="12">
        <v>4000</v>
      </c>
      <c r="N54" s="9">
        <v>0</v>
      </c>
    </row>
    <row r="55" spans="1:14" ht="13.2" x14ac:dyDescent="0.25">
      <c r="A55" t="s">
        <v>97</v>
      </c>
      <c r="B55" t="s">
        <v>93</v>
      </c>
      <c r="C55" s="6" t="s">
        <v>25</v>
      </c>
      <c r="D55" s="22">
        <v>0</v>
      </c>
      <c r="E55" s="9" t="s">
        <v>19</v>
      </c>
      <c r="F55" s="9" t="s">
        <v>19</v>
      </c>
      <c r="G55" s="7">
        <v>0.25</v>
      </c>
      <c r="H55" s="7">
        <v>0.75</v>
      </c>
      <c r="I55" s="9" t="s">
        <v>41</v>
      </c>
      <c r="J55" s="11" t="s">
        <v>35</v>
      </c>
      <c r="K55" s="20">
        <v>3500000</v>
      </c>
      <c r="L55" s="12">
        <v>2500000</v>
      </c>
      <c r="M55" s="12">
        <v>4000</v>
      </c>
      <c r="N55" s="9">
        <v>0</v>
      </c>
    </row>
    <row r="56" spans="1:14" x14ac:dyDescent="0.25">
      <c r="A56" t="s">
        <v>98</v>
      </c>
      <c r="B56" t="s">
        <v>93</v>
      </c>
      <c r="C56" s="6" t="s">
        <v>25</v>
      </c>
      <c r="D56" s="22">
        <v>50</v>
      </c>
      <c r="E56" s="9" t="s">
        <v>19</v>
      </c>
      <c r="F56" s="9" t="s">
        <v>19</v>
      </c>
      <c r="G56" s="7">
        <v>0.375</v>
      </c>
      <c r="H56" s="7">
        <v>0.70833333333333337</v>
      </c>
      <c r="I56" s="9" t="s">
        <v>42</v>
      </c>
      <c r="J56" s="11" t="s">
        <v>29</v>
      </c>
      <c r="K56" s="12">
        <v>3500000</v>
      </c>
      <c r="L56" s="12">
        <v>2000000</v>
      </c>
      <c r="M56" s="12">
        <v>3000</v>
      </c>
      <c r="N56" s="9">
        <v>0</v>
      </c>
    </row>
    <row r="57" spans="1:14" ht="13.2" x14ac:dyDescent="0.25">
      <c r="A57" t="s">
        <v>99</v>
      </c>
      <c r="B57" t="s">
        <v>93</v>
      </c>
      <c r="C57" s="6" t="s">
        <v>25</v>
      </c>
      <c r="D57" s="22">
        <v>0</v>
      </c>
      <c r="E57" s="9" t="s">
        <v>19</v>
      </c>
      <c r="F57" s="9" t="s">
        <v>19</v>
      </c>
      <c r="G57" s="7">
        <v>0.25</v>
      </c>
      <c r="H57" s="7">
        <v>0.75</v>
      </c>
      <c r="I57" s="9" t="s">
        <v>42</v>
      </c>
      <c r="J57" s="11" t="s">
        <v>29</v>
      </c>
      <c r="K57" s="20">
        <v>4000000</v>
      </c>
      <c r="L57" s="20">
        <v>2500000</v>
      </c>
      <c r="M57" s="12">
        <v>3000</v>
      </c>
      <c r="N57" s="9">
        <v>0</v>
      </c>
    </row>
    <row r="58" spans="1:14" ht="13.2" x14ac:dyDescent="0.25">
      <c r="A58" t="s">
        <v>100</v>
      </c>
      <c r="B58" t="s">
        <v>93</v>
      </c>
      <c r="C58" s="6" t="s">
        <v>25</v>
      </c>
      <c r="D58" s="22">
        <v>0</v>
      </c>
      <c r="E58" s="9" t="s">
        <v>19</v>
      </c>
      <c r="F58" s="9" t="s">
        <v>19</v>
      </c>
      <c r="G58" s="7">
        <v>0.25</v>
      </c>
      <c r="H58" s="7">
        <v>0.75</v>
      </c>
      <c r="I58" s="9" t="s">
        <v>38</v>
      </c>
      <c r="J58" s="11" t="s">
        <v>101</v>
      </c>
      <c r="K58" s="20">
        <v>20000000</v>
      </c>
      <c r="L58" s="20">
        <v>2000000</v>
      </c>
      <c r="M58" s="12">
        <v>3000</v>
      </c>
      <c r="N58" s="9">
        <v>0</v>
      </c>
    </row>
    <row r="59" spans="1:14" ht="13.2" x14ac:dyDescent="0.25">
      <c r="A59" t="s">
        <v>102</v>
      </c>
      <c r="B59" t="s">
        <v>93</v>
      </c>
      <c r="C59" s="6" t="s">
        <v>25</v>
      </c>
      <c r="D59" s="22">
        <v>0</v>
      </c>
      <c r="E59" s="9" t="s">
        <v>19</v>
      </c>
      <c r="F59" s="9" t="s">
        <v>19</v>
      </c>
      <c r="G59" s="7">
        <v>0.25</v>
      </c>
      <c r="H59" s="7">
        <v>0.75</v>
      </c>
      <c r="I59" s="9" t="s">
        <v>38</v>
      </c>
      <c r="J59" s="11" t="s">
        <v>101</v>
      </c>
      <c r="K59" s="20">
        <v>4000000</v>
      </c>
      <c r="L59" s="20">
        <v>4000000</v>
      </c>
      <c r="M59" s="12">
        <v>3000</v>
      </c>
      <c r="N59" s="9">
        <v>0</v>
      </c>
    </row>
    <row r="60" spans="1:14" ht="13.2" x14ac:dyDescent="0.25">
      <c r="A60" t="s">
        <v>103</v>
      </c>
      <c r="B60" t="s">
        <v>93</v>
      </c>
      <c r="C60" s="6" t="s">
        <v>25</v>
      </c>
      <c r="D60" s="22">
        <v>50</v>
      </c>
      <c r="E60" s="9" t="s">
        <v>19</v>
      </c>
      <c r="F60" s="9" t="s">
        <v>19</v>
      </c>
      <c r="G60" s="7">
        <v>0.25</v>
      </c>
      <c r="H60" s="7">
        <v>0.75</v>
      </c>
      <c r="I60" s="9" t="s">
        <v>37</v>
      </c>
      <c r="J60" s="11" t="s">
        <v>27</v>
      </c>
      <c r="K60" s="20">
        <v>5000000</v>
      </c>
      <c r="L60" s="12">
        <v>4000000</v>
      </c>
      <c r="M60" s="12">
        <v>3000</v>
      </c>
      <c r="N60" s="9">
        <v>2000</v>
      </c>
    </row>
    <row r="61" spans="1:14" x14ac:dyDescent="0.25">
      <c r="A61" t="s">
        <v>104</v>
      </c>
      <c r="B61" t="s">
        <v>93</v>
      </c>
      <c r="C61" s="6" t="s">
        <v>25</v>
      </c>
      <c r="D61" s="22">
        <v>0</v>
      </c>
      <c r="E61" s="9" t="s">
        <v>19</v>
      </c>
      <c r="F61" s="9" t="s">
        <v>19</v>
      </c>
      <c r="G61" s="7">
        <v>0.25</v>
      </c>
      <c r="H61" s="7">
        <v>0.75</v>
      </c>
      <c r="I61" s="9" t="s">
        <v>38</v>
      </c>
      <c r="J61" s="11" t="s">
        <v>101</v>
      </c>
      <c r="K61" s="12">
        <v>3500000</v>
      </c>
      <c r="L61" s="12">
        <v>2000000</v>
      </c>
      <c r="M61" s="12">
        <v>3000</v>
      </c>
      <c r="N61" s="9">
        <v>0</v>
      </c>
    </row>
    <row r="62" spans="1:14" ht="13.2" x14ac:dyDescent="0.25">
      <c r="A62" s="5" t="s">
        <v>185</v>
      </c>
      <c r="B62" s="5" t="s">
        <v>147</v>
      </c>
      <c r="C62" s="5" t="s">
        <v>43</v>
      </c>
      <c r="D62" s="23">
        <v>230</v>
      </c>
      <c r="E62" s="10" t="s">
        <v>19</v>
      </c>
      <c r="F62" s="10" t="s">
        <v>20</v>
      </c>
      <c r="G62" s="8">
        <v>0.41666666666666669</v>
      </c>
      <c r="H62" s="8">
        <v>0.83333333333333337</v>
      </c>
      <c r="I62" s="10" t="s">
        <v>149</v>
      </c>
      <c r="J62" s="11" t="s">
        <v>29</v>
      </c>
      <c r="K62" s="12">
        <v>5000000</v>
      </c>
      <c r="L62" s="20">
        <v>2000000</v>
      </c>
      <c r="M62" s="20">
        <v>5000</v>
      </c>
      <c r="N62" s="14">
        <v>2010</v>
      </c>
    </row>
    <row r="63" spans="1:14" x14ac:dyDescent="0.25">
      <c r="A63" t="s">
        <v>80</v>
      </c>
      <c r="B63" t="s">
        <v>77</v>
      </c>
      <c r="C63" t="s">
        <v>43</v>
      </c>
      <c r="D63" s="22">
        <v>100</v>
      </c>
      <c r="E63" s="9" t="s">
        <v>19</v>
      </c>
      <c r="F63" s="9" t="s">
        <v>19</v>
      </c>
      <c r="G63" s="7">
        <v>0.25</v>
      </c>
      <c r="H63" s="7">
        <v>0.75</v>
      </c>
      <c r="I63" s="9" t="s">
        <v>152</v>
      </c>
      <c r="J63" s="11" t="s">
        <v>35</v>
      </c>
      <c r="K63" s="12">
        <v>8000000</v>
      </c>
      <c r="L63" s="12">
        <v>5000000</v>
      </c>
      <c r="M63" s="12">
        <v>4000</v>
      </c>
      <c r="N63" s="9">
        <v>1982</v>
      </c>
    </row>
    <row r="64" spans="1:14" x14ac:dyDescent="0.25">
      <c r="A64" t="s">
        <v>113</v>
      </c>
      <c r="B64" t="s">
        <v>105</v>
      </c>
      <c r="C64" s="6" t="s">
        <v>25</v>
      </c>
      <c r="D64" s="22">
        <v>0</v>
      </c>
      <c r="E64" s="9" t="s">
        <v>19</v>
      </c>
      <c r="F64" s="9" t="s">
        <v>19</v>
      </c>
      <c r="G64" s="7">
        <v>0.25</v>
      </c>
      <c r="H64" s="7">
        <v>0.75</v>
      </c>
      <c r="I64" s="9" t="s">
        <v>41</v>
      </c>
      <c r="J64" s="11" t="s">
        <v>28</v>
      </c>
      <c r="K64" s="12">
        <v>3500000</v>
      </c>
      <c r="L64" s="12">
        <v>2000000</v>
      </c>
      <c r="M64" s="12">
        <v>3000</v>
      </c>
      <c r="N64" s="9">
        <v>2006</v>
      </c>
    </row>
    <row r="65" spans="1:14" ht="13.2" x14ac:dyDescent="0.25">
      <c r="A65" s="5" t="s">
        <v>157</v>
      </c>
      <c r="B65" s="5" t="s">
        <v>158</v>
      </c>
      <c r="C65" s="5" t="s">
        <v>17</v>
      </c>
      <c r="D65" s="23">
        <v>50</v>
      </c>
      <c r="E65" s="10" t="s">
        <v>19</v>
      </c>
      <c r="F65" s="10" t="s">
        <v>19</v>
      </c>
      <c r="G65" s="8">
        <v>0.41666666666666669</v>
      </c>
      <c r="H65" s="8">
        <v>0.70833333333333337</v>
      </c>
      <c r="I65" s="10" t="s">
        <v>152</v>
      </c>
      <c r="J65" s="11" t="s">
        <v>35</v>
      </c>
      <c r="K65" s="20">
        <v>10000000</v>
      </c>
      <c r="L65" s="20">
        <v>5000000</v>
      </c>
      <c r="M65" s="20">
        <v>20000</v>
      </c>
      <c r="N65" s="14">
        <v>1996</v>
      </c>
    </row>
    <row r="66" spans="1:14" ht="13.2" x14ac:dyDescent="0.25">
      <c r="A66" s="5" t="s">
        <v>89</v>
      </c>
      <c r="B66" s="5" t="s">
        <v>14</v>
      </c>
      <c r="C66" s="5" t="s">
        <v>14</v>
      </c>
      <c r="D66" s="23">
        <v>20</v>
      </c>
      <c r="E66" s="10" t="s">
        <v>20</v>
      </c>
      <c r="F66" s="10" t="s">
        <v>20</v>
      </c>
      <c r="G66" s="8">
        <v>0.33333333333333331</v>
      </c>
      <c r="H66" s="8">
        <v>0.70833333333333337</v>
      </c>
      <c r="I66" s="10" t="s">
        <v>38</v>
      </c>
      <c r="J66" s="11" t="s">
        <v>32</v>
      </c>
      <c r="K66" s="12">
        <v>5000000</v>
      </c>
      <c r="L66" s="20">
        <v>2500000</v>
      </c>
      <c r="M66" s="20">
        <v>7000</v>
      </c>
      <c r="N66" s="14">
        <v>1910</v>
      </c>
    </row>
    <row r="67" spans="1:14" ht="13.2" x14ac:dyDescent="0.25">
      <c r="A67" s="5" t="s">
        <v>174</v>
      </c>
      <c r="B67" s="5" t="s">
        <v>178</v>
      </c>
      <c r="C67" s="5" t="s">
        <v>14</v>
      </c>
      <c r="D67" s="23">
        <v>20</v>
      </c>
      <c r="E67" s="10" t="s">
        <v>20</v>
      </c>
      <c r="F67" s="10" t="s">
        <v>20</v>
      </c>
      <c r="G67" s="8">
        <v>0.29166666666666669</v>
      </c>
      <c r="H67" s="8">
        <v>0.70833333333333337</v>
      </c>
      <c r="I67" s="10" t="s">
        <v>41</v>
      </c>
      <c r="J67" s="11" t="s">
        <v>28</v>
      </c>
      <c r="K67" s="20">
        <v>2000000</v>
      </c>
      <c r="L67" s="20">
        <v>1500000</v>
      </c>
      <c r="M67" s="20">
        <v>5000</v>
      </c>
      <c r="N67" s="14">
        <v>300</v>
      </c>
    </row>
    <row r="68" spans="1:14" x14ac:dyDescent="0.25">
      <c r="A68" t="s">
        <v>151</v>
      </c>
      <c r="B68" t="s">
        <v>43</v>
      </c>
      <c r="C68" t="s">
        <v>43</v>
      </c>
      <c r="D68" s="22">
        <v>100</v>
      </c>
      <c r="E68" s="9" t="s">
        <v>19</v>
      </c>
      <c r="F68" s="9" t="s">
        <v>19</v>
      </c>
      <c r="G68" s="7">
        <v>0.25</v>
      </c>
      <c r="H68" s="7">
        <v>0.75</v>
      </c>
      <c r="I68" s="9" t="s">
        <v>37</v>
      </c>
      <c r="J68" s="11" t="s">
        <v>35</v>
      </c>
      <c r="K68" s="12">
        <v>50000000</v>
      </c>
      <c r="L68" s="12">
        <v>30000000</v>
      </c>
      <c r="M68" s="12">
        <v>3000</v>
      </c>
      <c r="N68" s="9">
        <v>1961</v>
      </c>
    </row>
    <row r="69" spans="1:14" ht="13.2" x14ac:dyDescent="0.25">
      <c r="A69" s="5" t="s">
        <v>91</v>
      </c>
      <c r="B69" s="5" t="s">
        <v>14</v>
      </c>
      <c r="C69" s="5" t="s">
        <v>14</v>
      </c>
      <c r="D69" s="22">
        <v>0</v>
      </c>
      <c r="E69" s="10" t="s">
        <v>20</v>
      </c>
      <c r="F69" s="10" t="s">
        <v>20</v>
      </c>
      <c r="G69" s="8">
        <v>0.25</v>
      </c>
      <c r="H69" s="8">
        <v>0.70833333333333337</v>
      </c>
      <c r="I69" s="10" t="s">
        <v>38</v>
      </c>
      <c r="J69" s="11" t="s">
        <v>27</v>
      </c>
      <c r="K69" s="20">
        <v>3000000</v>
      </c>
      <c r="L69" s="20">
        <v>1000000</v>
      </c>
      <c r="M69" s="20">
        <v>400</v>
      </c>
      <c r="N69" s="14">
        <v>1523</v>
      </c>
    </row>
    <row r="70" spans="1:14" ht="13.2" x14ac:dyDescent="0.25">
      <c r="A70" s="5" t="s">
        <v>175</v>
      </c>
      <c r="B70" s="5" t="s">
        <v>178</v>
      </c>
      <c r="C70" s="5" t="s">
        <v>14</v>
      </c>
      <c r="D70" s="23">
        <v>20</v>
      </c>
      <c r="E70" s="10" t="s">
        <v>134</v>
      </c>
      <c r="F70" s="10" t="s">
        <v>19</v>
      </c>
      <c r="G70" s="8">
        <v>0.33333333333333331</v>
      </c>
      <c r="H70" s="8">
        <v>0.70833333333333337</v>
      </c>
      <c r="I70" s="10" t="s">
        <v>41</v>
      </c>
      <c r="J70" s="11" t="s">
        <v>28</v>
      </c>
      <c r="K70" s="12">
        <v>5000000</v>
      </c>
      <c r="L70" s="20">
        <v>2500000</v>
      </c>
      <c r="M70" s="20">
        <v>7000</v>
      </c>
      <c r="N70" s="14">
        <v>800</v>
      </c>
    </row>
    <row r="71" spans="1:14" ht="13.2" x14ac:dyDescent="0.25">
      <c r="A71" t="s">
        <v>86</v>
      </c>
      <c r="B71" s="5" t="s">
        <v>18</v>
      </c>
      <c r="C71" s="5" t="s">
        <v>18</v>
      </c>
      <c r="D71" s="23">
        <v>15</v>
      </c>
      <c r="E71" s="10" t="s">
        <v>19</v>
      </c>
      <c r="F71" s="10" t="s">
        <v>19</v>
      </c>
      <c r="G71" s="8">
        <v>0.375</v>
      </c>
      <c r="H71" s="8">
        <v>0.70833333333333337</v>
      </c>
      <c r="I71" s="10" t="s">
        <v>149</v>
      </c>
      <c r="J71" s="11" t="s">
        <v>32</v>
      </c>
      <c r="K71" s="20">
        <v>4000000</v>
      </c>
      <c r="L71" s="20">
        <v>2000000</v>
      </c>
      <c r="M71" s="20">
        <v>6000</v>
      </c>
      <c r="N71" s="14">
        <v>1969</v>
      </c>
    </row>
    <row r="72" spans="1:14" ht="13.2" x14ac:dyDescent="0.25">
      <c r="A72" t="s">
        <v>55</v>
      </c>
      <c r="B72" t="s">
        <v>56</v>
      </c>
      <c r="C72" t="s">
        <v>12</v>
      </c>
      <c r="D72" s="22">
        <v>0</v>
      </c>
      <c r="E72" s="9" t="s">
        <v>19</v>
      </c>
      <c r="F72" s="9" t="s">
        <v>19</v>
      </c>
      <c r="G72" s="7">
        <v>0.25</v>
      </c>
      <c r="H72" s="7">
        <v>0.75</v>
      </c>
      <c r="I72" s="9" t="s">
        <v>37</v>
      </c>
      <c r="J72" s="11" t="s">
        <v>33</v>
      </c>
      <c r="K72" s="20">
        <v>5000000</v>
      </c>
      <c r="L72" s="20">
        <v>2000000</v>
      </c>
      <c r="M72" s="12">
        <v>2500</v>
      </c>
      <c r="N72" s="9">
        <v>0</v>
      </c>
    </row>
    <row r="73" spans="1:14" ht="13.2" x14ac:dyDescent="0.25">
      <c r="A73" t="s">
        <v>164</v>
      </c>
      <c r="B73" t="s">
        <v>57</v>
      </c>
      <c r="C73" t="s">
        <v>12</v>
      </c>
      <c r="D73" s="22">
        <v>0</v>
      </c>
      <c r="E73" s="9" t="s">
        <v>19</v>
      </c>
      <c r="F73" s="9" t="s">
        <v>19</v>
      </c>
      <c r="G73" s="7">
        <v>0.375</v>
      </c>
      <c r="H73" s="7">
        <v>0.70833333333333337</v>
      </c>
      <c r="I73" s="9" t="s">
        <v>42</v>
      </c>
      <c r="J73" s="11" t="s">
        <v>32</v>
      </c>
      <c r="K73" s="20">
        <v>10000000</v>
      </c>
      <c r="L73" s="20">
        <v>5000000</v>
      </c>
      <c r="M73" s="12">
        <v>1000</v>
      </c>
      <c r="N73" s="9">
        <v>1658</v>
      </c>
    </row>
    <row r="74" spans="1:14" ht="10.8" customHeight="1" x14ac:dyDescent="0.25">
      <c r="A74" t="s">
        <v>61</v>
      </c>
      <c r="B74" t="s">
        <v>62</v>
      </c>
      <c r="C74" t="s">
        <v>12</v>
      </c>
      <c r="D74" s="22">
        <v>20</v>
      </c>
      <c r="E74" s="9" t="s">
        <v>19</v>
      </c>
      <c r="F74" s="9" t="s">
        <v>19</v>
      </c>
      <c r="G74" s="7">
        <v>0.25</v>
      </c>
      <c r="H74" s="7">
        <v>0.75</v>
      </c>
      <c r="I74" s="9" t="s">
        <v>37</v>
      </c>
      <c r="J74" s="11" t="s">
        <v>29</v>
      </c>
      <c r="K74" s="20">
        <v>10000000</v>
      </c>
      <c r="L74" s="20">
        <v>5000000</v>
      </c>
      <c r="M74" s="12">
        <v>3000</v>
      </c>
      <c r="N74" s="9">
        <v>0</v>
      </c>
    </row>
    <row r="75" spans="1:14" ht="10.8" customHeight="1" x14ac:dyDescent="0.25">
      <c r="A75" t="s">
        <v>63</v>
      </c>
      <c r="B75" t="s">
        <v>59</v>
      </c>
      <c r="C75" t="s">
        <v>12</v>
      </c>
      <c r="D75" s="22">
        <v>0</v>
      </c>
      <c r="E75" s="9" t="s">
        <v>19</v>
      </c>
      <c r="F75" s="9" t="s">
        <v>19</v>
      </c>
      <c r="G75" s="7">
        <v>0.25</v>
      </c>
      <c r="H75" s="7">
        <v>0.75</v>
      </c>
      <c r="I75" s="9" t="s">
        <v>42</v>
      </c>
      <c r="J75" s="11" t="s">
        <v>33</v>
      </c>
      <c r="K75" s="20">
        <v>10000000</v>
      </c>
      <c r="L75" s="12">
        <v>5000000</v>
      </c>
      <c r="M75" s="12">
        <v>3500</v>
      </c>
      <c r="N75" s="9">
        <v>0</v>
      </c>
    </row>
    <row r="76" spans="1:14" ht="13.2" x14ac:dyDescent="0.25">
      <c r="A76" t="s">
        <v>64</v>
      </c>
      <c r="B76" t="s">
        <v>62</v>
      </c>
      <c r="C76" t="s">
        <v>12</v>
      </c>
      <c r="D76" s="22">
        <v>0</v>
      </c>
      <c r="E76" s="9" t="s">
        <v>19</v>
      </c>
      <c r="F76" s="9" t="s">
        <v>19</v>
      </c>
      <c r="G76" s="7">
        <v>0.25</v>
      </c>
      <c r="H76" s="7">
        <v>0.75</v>
      </c>
      <c r="I76" s="9" t="s">
        <v>149</v>
      </c>
      <c r="J76" s="11" t="s">
        <v>36</v>
      </c>
      <c r="K76" s="20">
        <v>3500000</v>
      </c>
      <c r="L76" s="20">
        <v>1500000</v>
      </c>
      <c r="M76" s="12">
        <v>2000</v>
      </c>
      <c r="N76" s="9">
        <v>2016</v>
      </c>
    </row>
    <row r="77" spans="1:14" x14ac:dyDescent="0.25">
      <c r="A77" t="s">
        <v>65</v>
      </c>
      <c r="B77" t="s">
        <v>66</v>
      </c>
      <c r="C77" t="s">
        <v>12</v>
      </c>
      <c r="D77" s="22">
        <v>15</v>
      </c>
      <c r="E77" s="9" t="s">
        <v>19</v>
      </c>
      <c r="F77" s="9" t="s">
        <v>19</v>
      </c>
      <c r="G77" s="7">
        <v>0.25</v>
      </c>
      <c r="H77" s="7">
        <v>0.75</v>
      </c>
      <c r="I77" s="9" t="s">
        <v>149</v>
      </c>
      <c r="J77" s="11" t="s">
        <v>27</v>
      </c>
      <c r="K77" s="12">
        <v>3500000</v>
      </c>
      <c r="L77" s="12">
        <v>2000000</v>
      </c>
      <c r="M77" s="12">
        <v>1500</v>
      </c>
      <c r="N77" s="9">
        <v>1790</v>
      </c>
    </row>
    <row r="78" spans="1:14" ht="13.2" x14ac:dyDescent="0.25">
      <c r="A78" t="s">
        <v>61</v>
      </c>
      <c r="B78" t="s">
        <v>62</v>
      </c>
      <c r="C78" t="s">
        <v>12</v>
      </c>
      <c r="D78" s="22">
        <v>20</v>
      </c>
      <c r="E78" s="9" t="s">
        <v>19</v>
      </c>
      <c r="F78" s="9" t="s">
        <v>19</v>
      </c>
      <c r="G78" s="7">
        <v>0.25</v>
      </c>
      <c r="H78" s="7">
        <v>0.75</v>
      </c>
      <c r="I78" s="9" t="s">
        <v>37</v>
      </c>
      <c r="J78" s="11" t="s">
        <v>29</v>
      </c>
      <c r="K78" s="20">
        <v>4000000</v>
      </c>
      <c r="L78" s="20">
        <v>2000000</v>
      </c>
      <c r="M78" s="12">
        <v>3000</v>
      </c>
      <c r="N78" s="9">
        <v>0</v>
      </c>
    </row>
    <row r="79" spans="1:14" x14ac:dyDescent="0.25">
      <c r="A79" t="s">
        <v>112</v>
      </c>
      <c r="B79" t="s">
        <v>105</v>
      </c>
      <c r="C79" s="6" t="s">
        <v>25</v>
      </c>
      <c r="D79" s="22">
        <v>30</v>
      </c>
      <c r="E79" s="9" t="s">
        <v>19</v>
      </c>
      <c r="F79" s="9" t="s">
        <v>19</v>
      </c>
      <c r="G79" s="7">
        <v>0.25</v>
      </c>
      <c r="H79" s="7">
        <v>0.75</v>
      </c>
      <c r="I79" s="9" t="s">
        <v>149</v>
      </c>
      <c r="J79" s="11" t="s">
        <v>29</v>
      </c>
      <c r="K79" s="12">
        <v>5000000</v>
      </c>
      <c r="L79" s="12">
        <v>2000000</v>
      </c>
      <c r="M79" s="12">
        <v>3000</v>
      </c>
      <c r="N79" s="9">
        <v>0</v>
      </c>
    </row>
    <row r="80" spans="1:14" ht="13.2" x14ac:dyDescent="0.25">
      <c r="A80" s="5" t="s">
        <v>159</v>
      </c>
      <c r="B80" s="5" t="s">
        <v>17</v>
      </c>
      <c r="C80" s="5" t="s">
        <v>17</v>
      </c>
      <c r="D80" s="23">
        <v>0</v>
      </c>
      <c r="E80" s="10" t="s">
        <v>20</v>
      </c>
      <c r="F80" s="10" t="s">
        <v>20</v>
      </c>
      <c r="G80" s="8">
        <v>0.33333333333333331</v>
      </c>
      <c r="H80" s="8">
        <v>0.70833333333333337</v>
      </c>
      <c r="I80" s="10" t="s">
        <v>38</v>
      </c>
      <c r="J80" s="11" t="s">
        <v>29</v>
      </c>
      <c r="K80" s="20">
        <v>3500000</v>
      </c>
      <c r="L80" s="20">
        <v>1500000</v>
      </c>
      <c r="M80" s="20">
        <v>3000</v>
      </c>
      <c r="N80" s="9">
        <v>0</v>
      </c>
    </row>
    <row r="81" spans="1:14" x14ac:dyDescent="0.25">
      <c r="A81" t="s">
        <v>111</v>
      </c>
      <c r="B81" t="s">
        <v>105</v>
      </c>
      <c r="C81" s="6" t="s">
        <v>25</v>
      </c>
      <c r="D81" s="22">
        <v>200</v>
      </c>
      <c r="E81" s="9" t="s">
        <v>19</v>
      </c>
      <c r="F81" s="9" t="s">
        <v>19</v>
      </c>
      <c r="G81" s="7">
        <v>0.25</v>
      </c>
      <c r="H81" s="7">
        <v>0.75</v>
      </c>
      <c r="I81" s="9" t="s">
        <v>42</v>
      </c>
      <c r="J81" s="11" t="s">
        <v>29</v>
      </c>
      <c r="K81" s="12">
        <v>3500000</v>
      </c>
      <c r="L81" s="12">
        <v>2000000</v>
      </c>
      <c r="M81" s="12">
        <v>3000</v>
      </c>
      <c r="N81" s="9">
        <v>2018</v>
      </c>
    </row>
    <row r="82" spans="1:14" ht="13.2" x14ac:dyDescent="0.25">
      <c r="A82" s="5" t="s">
        <v>176</v>
      </c>
      <c r="B82" s="5" t="s">
        <v>179</v>
      </c>
      <c r="C82" s="5" t="s">
        <v>14</v>
      </c>
      <c r="D82" s="23">
        <v>0</v>
      </c>
      <c r="E82" s="10" t="s">
        <v>20</v>
      </c>
      <c r="F82" s="10" t="s">
        <v>20</v>
      </c>
      <c r="G82" s="8">
        <v>0.29166666666666669</v>
      </c>
      <c r="H82" s="8">
        <v>0.70833333333333337</v>
      </c>
      <c r="I82" s="10" t="s">
        <v>38</v>
      </c>
      <c r="J82" s="11" t="s">
        <v>28</v>
      </c>
      <c r="K82" s="20">
        <v>4000000</v>
      </c>
      <c r="L82" s="20">
        <v>2000000</v>
      </c>
      <c r="M82" s="20">
        <v>4000</v>
      </c>
      <c r="N82" s="14">
        <v>1559</v>
      </c>
    </row>
    <row r="83" spans="1:14" ht="13.2" x14ac:dyDescent="0.25">
      <c r="A83" t="s">
        <v>24</v>
      </c>
      <c r="B83" t="s">
        <v>105</v>
      </c>
      <c r="C83" s="6" t="s">
        <v>25</v>
      </c>
      <c r="D83" s="22">
        <v>0</v>
      </c>
      <c r="E83" s="9" t="s">
        <v>19</v>
      </c>
      <c r="F83" s="9" t="s">
        <v>19</v>
      </c>
      <c r="G83" s="7">
        <v>0.25</v>
      </c>
      <c r="H83" s="7">
        <v>0.75</v>
      </c>
      <c r="I83" s="10" t="s">
        <v>41</v>
      </c>
      <c r="J83" s="11" t="s">
        <v>29</v>
      </c>
      <c r="K83" s="20">
        <v>20000000</v>
      </c>
      <c r="L83" s="12">
        <v>10000000</v>
      </c>
      <c r="M83" s="12">
        <v>30000</v>
      </c>
      <c r="N83" s="9">
        <v>0</v>
      </c>
    </row>
    <row r="84" spans="1:14" ht="13.2" x14ac:dyDescent="0.25">
      <c r="A84" t="s">
        <v>106</v>
      </c>
      <c r="B84" t="s">
        <v>105</v>
      </c>
      <c r="C84" s="6" t="s">
        <v>25</v>
      </c>
      <c r="D84" s="22">
        <v>20</v>
      </c>
      <c r="E84" s="9" t="s">
        <v>19</v>
      </c>
      <c r="F84" s="9" t="s">
        <v>19</v>
      </c>
      <c r="G84" s="7">
        <v>0.25</v>
      </c>
      <c r="H84" s="7">
        <v>0.75</v>
      </c>
      <c r="I84" s="9" t="s">
        <v>41</v>
      </c>
      <c r="J84" s="11" t="s">
        <v>36</v>
      </c>
      <c r="K84" s="20">
        <v>4000000</v>
      </c>
      <c r="L84" s="12">
        <v>2500000</v>
      </c>
      <c r="M84" s="12">
        <v>5000</v>
      </c>
      <c r="N84" s="9">
        <v>1962</v>
      </c>
    </row>
    <row r="85" spans="1:14" ht="13.2" x14ac:dyDescent="0.25">
      <c r="A85" t="s">
        <v>82</v>
      </c>
      <c r="B85" t="s">
        <v>77</v>
      </c>
      <c r="C85" t="s">
        <v>43</v>
      </c>
      <c r="D85" s="22">
        <v>12000</v>
      </c>
      <c r="E85" s="9" t="s">
        <v>19</v>
      </c>
      <c r="F85" s="9" t="s">
        <v>19</v>
      </c>
      <c r="G85" s="7">
        <v>0.25</v>
      </c>
      <c r="H85" s="7">
        <v>0.75</v>
      </c>
      <c r="I85" s="9" t="s">
        <v>149</v>
      </c>
      <c r="J85" s="11" t="s">
        <v>29</v>
      </c>
      <c r="K85" s="20">
        <v>5000000</v>
      </c>
      <c r="L85" s="12">
        <v>2000000</v>
      </c>
      <c r="M85" s="12">
        <v>1000</v>
      </c>
      <c r="N85" s="9">
        <v>2016</v>
      </c>
    </row>
    <row r="86" spans="1:14" x14ac:dyDescent="0.25">
      <c r="A86" t="s">
        <v>50</v>
      </c>
      <c r="B86" t="s">
        <v>12</v>
      </c>
      <c r="C86" t="s">
        <v>12</v>
      </c>
      <c r="D86" s="22">
        <v>20</v>
      </c>
      <c r="E86" s="9" t="s">
        <v>19</v>
      </c>
      <c r="F86" s="9" t="s">
        <v>19</v>
      </c>
      <c r="G86" s="7">
        <v>0.20833333333333334</v>
      </c>
      <c r="H86" s="7">
        <v>0.875</v>
      </c>
      <c r="I86" s="9" t="s">
        <v>37</v>
      </c>
      <c r="J86" s="11" t="s">
        <v>36</v>
      </c>
      <c r="K86" s="12">
        <v>1000000</v>
      </c>
      <c r="L86" s="12">
        <v>50000</v>
      </c>
      <c r="M86" s="12">
        <v>3000</v>
      </c>
      <c r="N86" s="9">
        <v>1780</v>
      </c>
    </row>
    <row r="87" spans="1:14" ht="13.2" x14ac:dyDescent="0.25">
      <c r="A87" s="5" t="s">
        <v>169</v>
      </c>
      <c r="B87" s="5" t="s">
        <v>170</v>
      </c>
      <c r="C87" s="5" t="s">
        <v>16</v>
      </c>
      <c r="D87" s="23">
        <v>25</v>
      </c>
      <c r="E87" s="10" t="s">
        <v>20</v>
      </c>
      <c r="F87" s="10" t="s">
        <v>20</v>
      </c>
      <c r="G87" s="8">
        <v>0.29166666666666669</v>
      </c>
      <c r="H87" s="8">
        <v>0.70833333333333337</v>
      </c>
      <c r="I87" s="10" t="s">
        <v>149</v>
      </c>
      <c r="J87" s="11" t="s">
        <v>28</v>
      </c>
      <c r="K87" s="20">
        <v>4000000</v>
      </c>
      <c r="L87" s="20">
        <v>2000000</v>
      </c>
      <c r="M87" s="20">
        <v>5000</v>
      </c>
      <c r="N87" s="14">
        <v>1761</v>
      </c>
    </row>
    <row r="88" spans="1:14" ht="13.2" x14ac:dyDescent="0.25">
      <c r="A88" s="5" t="s">
        <v>166</v>
      </c>
      <c r="B88" s="5" t="s">
        <v>167</v>
      </c>
      <c r="C88" s="5" t="s">
        <v>16</v>
      </c>
      <c r="D88" s="23">
        <v>50</v>
      </c>
      <c r="E88" s="10" t="s">
        <v>19</v>
      </c>
      <c r="F88" s="10" t="s">
        <v>20</v>
      </c>
      <c r="G88" s="8">
        <v>0.25</v>
      </c>
      <c r="H88" s="8">
        <v>0.83333333333333337</v>
      </c>
      <c r="I88" s="10" t="s">
        <v>41</v>
      </c>
      <c r="J88" s="11" t="s">
        <v>33</v>
      </c>
      <c r="K88" s="20">
        <v>8000000</v>
      </c>
      <c r="L88" s="20">
        <v>4000000</v>
      </c>
      <c r="M88" s="20">
        <v>25000</v>
      </c>
      <c r="N88" s="9">
        <v>0</v>
      </c>
    </row>
    <row r="89" spans="1:14" x14ac:dyDescent="0.25">
      <c r="A89" t="s">
        <v>114</v>
      </c>
      <c r="B89" t="s">
        <v>105</v>
      </c>
      <c r="C89" s="6" t="s">
        <v>25</v>
      </c>
      <c r="D89" s="22">
        <v>0</v>
      </c>
      <c r="E89" s="9" t="s">
        <v>19</v>
      </c>
      <c r="F89" s="9" t="s">
        <v>19</v>
      </c>
      <c r="G89" s="7">
        <v>0.25</v>
      </c>
      <c r="H89" s="7">
        <v>0.75</v>
      </c>
      <c r="I89" s="9" t="s">
        <v>38</v>
      </c>
      <c r="J89" s="11" t="s">
        <v>101</v>
      </c>
      <c r="K89" s="12">
        <v>5000000</v>
      </c>
      <c r="L89" s="12">
        <v>4000000</v>
      </c>
      <c r="M89" s="12">
        <v>3000</v>
      </c>
      <c r="N89" s="9">
        <v>0</v>
      </c>
    </row>
    <row r="90" spans="1:14" ht="13.2" x14ac:dyDescent="0.25">
      <c r="A90" t="s">
        <v>115</v>
      </c>
      <c r="B90" t="s">
        <v>105</v>
      </c>
      <c r="C90" s="6" t="s">
        <v>25</v>
      </c>
      <c r="D90" s="22">
        <v>0</v>
      </c>
      <c r="E90" s="9" t="s">
        <v>19</v>
      </c>
      <c r="F90" s="9" t="s">
        <v>19</v>
      </c>
      <c r="G90" s="7">
        <v>0.25</v>
      </c>
      <c r="H90" s="7">
        <v>0.75</v>
      </c>
      <c r="I90" s="9" t="s">
        <v>38</v>
      </c>
      <c r="J90" s="11" t="s">
        <v>101</v>
      </c>
      <c r="K90" s="20">
        <v>2000000</v>
      </c>
      <c r="L90" s="12">
        <v>1600000</v>
      </c>
      <c r="M90" s="12">
        <v>3000</v>
      </c>
      <c r="N90" s="9">
        <v>0</v>
      </c>
    </row>
    <row r="91" spans="1:14" ht="13.2" x14ac:dyDescent="0.25">
      <c r="A91" t="s">
        <v>116</v>
      </c>
      <c r="B91" t="s">
        <v>105</v>
      </c>
      <c r="C91" s="6" t="s">
        <v>25</v>
      </c>
      <c r="D91" s="22">
        <v>150</v>
      </c>
      <c r="E91" s="9" t="s">
        <v>19</v>
      </c>
      <c r="F91" s="9" t="s">
        <v>19</v>
      </c>
      <c r="G91" s="7">
        <v>0.25</v>
      </c>
      <c r="H91" s="7">
        <v>0.75</v>
      </c>
      <c r="I91" s="9" t="s">
        <v>42</v>
      </c>
      <c r="J91" s="11" t="s">
        <v>36</v>
      </c>
      <c r="K91" s="20">
        <v>2000000</v>
      </c>
      <c r="L91" s="20">
        <v>1800000</v>
      </c>
      <c r="M91" s="12">
        <v>3000</v>
      </c>
      <c r="N91" s="9">
        <v>2017</v>
      </c>
    </row>
    <row r="92" spans="1:14" ht="13.2" x14ac:dyDescent="0.25">
      <c r="A92" t="s">
        <v>117</v>
      </c>
      <c r="B92" t="s">
        <v>105</v>
      </c>
      <c r="C92" s="6" t="s">
        <v>25</v>
      </c>
      <c r="D92" s="22">
        <v>0</v>
      </c>
      <c r="E92" s="9" t="s">
        <v>19</v>
      </c>
      <c r="F92" s="9" t="s">
        <v>19</v>
      </c>
      <c r="G92" s="7">
        <v>0.25</v>
      </c>
      <c r="H92" s="7">
        <v>0.75</v>
      </c>
      <c r="I92" s="9" t="s">
        <v>38</v>
      </c>
      <c r="J92" s="11" t="s">
        <v>101</v>
      </c>
      <c r="K92" s="20">
        <v>2000000</v>
      </c>
      <c r="L92" s="12">
        <v>1000000</v>
      </c>
      <c r="M92" s="12">
        <v>3000</v>
      </c>
      <c r="N92" s="9">
        <v>2000</v>
      </c>
    </row>
    <row r="93" spans="1:14" ht="13.2" x14ac:dyDescent="0.25">
      <c r="A93" s="5" t="s">
        <v>177</v>
      </c>
      <c r="B93" s="5" t="s">
        <v>180</v>
      </c>
      <c r="C93" s="5" t="s">
        <v>14</v>
      </c>
      <c r="D93" s="23">
        <v>0</v>
      </c>
      <c r="E93" s="10" t="s">
        <v>20</v>
      </c>
      <c r="F93" s="10" t="s">
        <v>20</v>
      </c>
      <c r="G93" s="8">
        <v>0.33333333333333331</v>
      </c>
      <c r="H93" s="8">
        <v>0.70833333333333337</v>
      </c>
      <c r="I93" s="10" t="s">
        <v>41</v>
      </c>
      <c r="J93" s="11" t="s">
        <v>28</v>
      </c>
      <c r="K93" s="20">
        <v>3500000</v>
      </c>
      <c r="L93" s="20">
        <v>1000000</v>
      </c>
      <c r="M93" s="20">
        <v>4000</v>
      </c>
      <c r="N93" s="14">
        <v>1500</v>
      </c>
    </row>
    <row r="94" spans="1:14" x14ac:dyDescent="0.25">
      <c r="A94" t="s">
        <v>81</v>
      </c>
      <c r="B94" t="s">
        <v>77</v>
      </c>
      <c r="C94" t="s">
        <v>43</v>
      </c>
      <c r="D94" s="22">
        <v>200</v>
      </c>
      <c r="E94" s="9" t="s">
        <v>19</v>
      </c>
      <c r="F94" s="9" t="s">
        <v>19</v>
      </c>
      <c r="G94" s="7">
        <v>0.25</v>
      </c>
      <c r="H94" s="7">
        <v>0.75</v>
      </c>
      <c r="I94" s="9" t="s">
        <v>42</v>
      </c>
      <c r="J94" s="11" t="s">
        <v>29</v>
      </c>
      <c r="K94" s="12">
        <v>1000000</v>
      </c>
      <c r="L94" s="12">
        <v>50000</v>
      </c>
      <c r="M94" s="12">
        <v>3000</v>
      </c>
      <c r="N94" s="9">
        <v>1997</v>
      </c>
    </row>
    <row r="95" spans="1:14" ht="13.2" x14ac:dyDescent="0.25">
      <c r="A95" s="5" t="s">
        <v>155</v>
      </c>
      <c r="B95" s="5" t="s">
        <v>17</v>
      </c>
      <c r="C95" s="5" t="s">
        <v>17</v>
      </c>
      <c r="D95" s="23">
        <v>40</v>
      </c>
      <c r="E95" s="10" t="s">
        <v>20</v>
      </c>
      <c r="F95" s="10" t="s">
        <v>20</v>
      </c>
      <c r="G95" s="8">
        <v>0.27083333333333331</v>
      </c>
      <c r="H95" s="8">
        <v>0.75</v>
      </c>
      <c r="I95" s="10" t="s">
        <v>41</v>
      </c>
      <c r="J95" s="11" t="s">
        <v>36</v>
      </c>
      <c r="K95" s="12">
        <v>5000000</v>
      </c>
      <c r="L95" s="20">
        <v>2000000</v>
      </c>
      <c r="M95" s="20">
        <v>4000</v>
      </c>
      <c r="N95" s="9">
        <v>0</v>
      </c>
    </row>
    <row r="96" spans="1:14" ht="13.2" x14ac:dyDescent="0.25">
      <c r="A96" s="5" t="s">
        <v>196</v>
      </c>
      <c r="B96" s="5" t="s">
        <v>59</v>
      </c>
      <c r="C96" s="5" t="s">
        <v>12</v>
      </c>
      <c r="D96" s="23">
        <v>30</v>
      </c>
      <c r="E96" s="10" t="s">
        <v>20</v>
      </c>
      <c r="F96" s="10" t="s">
        <v>20</v>
      </c>
      <c r="G96" s="8">
        <v>0.29166666666666669</v>
      </c>
      <c r="H96" s="8">
        <v>0.70833333333333337</v>
      </c>
      <c r="I96" s="10" t="s">
        <v>163</v>
      </c>
      <c r="J96" s="11" t="s">
        <v>36</v>
      </c>
      <c r="K96" s="20">
        <v>2000000</v>
      </c>
      <c r="L96" s="20">
        <v>500000</v>
      </c>
      <c r="M96" s="20">
        <v>3000</v>
      </c>
      <c r="N96" s="9">
        <v>0</v>
      </c>
    </row>
    <row r="97" spans="1:14" ht="13.2" x14ac:dyDescent="0.25">
      <c r="A97" t="s">
        <v>88</v>
      </c>
      <c r="B97" s="5" t="s">
        <v>18</v>
      </c>
      <c r="C97" s="5" t="s">
        <v>18</v>
      </c>
      <c r="D97" s="23">
        <v>0</v>
      </c>
      <c r="E97" s="10" t="s">
        <v>20</v>
      </c>
      <c r="F97" s="10" t="s">
        <v>20</v>
      </c>
      <c r="G97" s="8">
        <v>0.3125</v>
      </c>
      <c r="H97" s="8">
        <v>0.70833333333333337</v>
      </c>
      <c r="I97" s="10" t="s">
        <v>149</v>
      </c>
      <c r="J97" s="11" t="s">
        <v>29</v>
      </c>
      <c r="K97" s="20">
        <v>2000000</v>
      </c>
      <c r="L97" s="20">
        <v>1000000</v>
      </c>
      <c r="M97" s="20">
        <v>5000</v>
      </c>
      <c r="N97" s="10">
        <v>2013</v>
      </c>
    </row>
    <row r="98" spans="1:14" ht="13.2" x14ac:dyDescent="0.25">
      <c r="A98" s="5" t="s">
        <v>190</v>
      </c>
      <c r="B98" s="5" t="s">
        <v>191</v>
      </c>
      <c r="C98" s="5" t="s">
        <v>13</v>
      </c>
      <c r="D98" s="23">
        <v>15</v>
      </c>
      <c r="E98" s="10" t="s">
        <v>19</v>
      </c>
      <c r="F98" s="10" t="s">
        <v>19</v>
      </c>
      <c r="G98" s="8">
        <v>0.58333333333333337</v>
      </c>
      <c r="H98" s="8">
        <v>0.70833333333333337</v>
      </c>
      <c r="I98" s="10" t="s">
        <v>42</v>
      </c>
      <c r="J98" s="11" t="s">
        <v>28</v>
      </c>
      <c r="K98" s="20">
        <v>2000000</v>
      </c>
      <c r="L98" s="20">
        <v>1800000</v>
      </c>
      <c r="M98" s="20">
        <v>5000</v>
      </c>
      <c r="N98" s="14">
        <v>1889</v>
      </c>
    </row>
    <row r="99" spans="1:14" ht="13.2" x14ac:dyDescent="0.25">
      <c r="A99" s="5" t="s">
        <v>131</v>
      </c>
      <c r="B99" s="5" t="s">
        <v>105</v>
      </c>
      <c r="C99" s="6" t="s">
        <v>25</v>
      </c>
      <c r="D99" s="23">
        <v>50</v>
      </c>
      <c r="E99" s="10" t="s">
        <v>19</v>
      </c>
      <c r="F99" s="10" t="s">
        <v>20</v>
      </c>
      <c r="G99" s="8">
        <v>0.35416666666666669</v>
      </c>
      <c r="H99" s="8">
        <v>0.72916666666666663</v>
      </c>
      <c r="I99" s="10" t="s">
        <v>41</v>
      </c>
      <c r="J99" s="11" t="s">
        <v>29</v>
      </c>
      <c r="K99" s="12">
        <v>5000000</v>
      </c>
      <c r="L99" s="20">
        <v>2000000</v>
      </c>
      <c r="M99" s="20">
        <v>4000</v>
      </c>
      <c r="N99" s="9">
        <v>0</v>
      </c>
    </row>
    <row r="100" spans="1:14" ht="13.2" x14ac:dyDescent="0.25">
      <c r="A100" t="s">
        <v>76</v>
      </c>
      <c r="B100" t="s">
        <v>77</v>
      </c>
      <c r="C100" t="s">
        <v>43</v>
      </c>
      <c r="D100" s="22">
        <v>50</v>
      </c>
      <c r="E100" s="9" t="s">
        <v>19</v>
      </c>
      <c r="F100" s="9" t="s">
        <v>19</v>
      </c>
      <c r="G100" s="7">
        <v>0.45833333333333331</v>
      </c>
      <c r="H100" s="7">
        <v>0.79166666666666663</v>
      </c>
      <c r="I100" s="9" t="s">
        <v>42</v>
      </c>
      <c r="J100" s="11" t="s">
        <v>29</v>
      </c>
      <c r="K100" s="20">
        <v>2000000</v>
      </c>
      <c r="L100" s="12">
        <v>1600000</v>
      </c>
      <c r="M100" s="12">
        <v>5000</v>
      </c>
      <c r="N100" s="9">
        <v>2011</v>
      </c>
    </row>
    <row r="101" spans="1:14" ht="13.2" x14ac:dyDescent="0.25">
      <c r="A101" t="s">
        <v>74</v>
      </c>
      <c r="B101" t="s">
        <v>43</v>
      </c>
      <c r="C101" t="s">
        <v>43</v>
      </c>
      <c r="D101" s="22">
        <v>0</v>
      </c>
      <c r="E101" s="9" t="s">
        <v>19</v>
      </c>
      <c r="F101" s="9" t="s">
        <v>19</v>
      </c>
      <c r="G101" s="7">
        <v>0.25</v>
      </c>
      <c r="H101" s="7">
        <v>0.75</v>
      </c>
      <c r="I101" s="9" t="s">
        <v>42</v>
      </c>
      <c r="J101" s="11" t="s">
        <v>29</v>
      </c>
      <c r="K101" s="20">
        <v>2000000</v>
      </c>
      <c r="L101" s="20">
        <v>1800000</v>
      </c>
      <c r="M101" s="12">
        <v>7000</v>
      </c>
      <c r="N101" s="9">
        <v>0</v>
      </c>
    </row>
    <row r="102" spans="1:14" ht="13.2" x14ac:dyDescent="0.25">
      <c r="A102" t="s">
        <v>75</v>
      </c>
      <c r="B102" t="s">
        <v>43</v>
      </c>
      <c r="C102" t="s">
        <v>43</v>
      </c>
      <c r="D102" s="22">
        <v>10</v>
      </c>
      <c r="E102" s="9" t="s">
        <v>19</v>
      </c>
      <c r="F102" s="9" t="s">
        <v>19</v>
      </c>
      <c r="G102" s="7">
        <v>0.375</v>
      </c>
      <c r="H102" s="7">
        <v>0.70833333333333337</v>
      </c>
      <c r="I102" s="9" t="s">
        <v>37</v>
      </c>
      <c r="J102" s="11" t="s">
        <v>35</v>
      </c>
      <c r="K102" s="20">
        <v>2000000</v>
      </c>
      <c r="L102" s="12">
        <v>1000000</v>
      </c>
      <c r="M102" s="12">
        <v>3000</v>
      </c>
      <c r="N102" s="9">
        <v>1909</v>
      </c>
    </row>
    <row r="103" spans="1:14" ht="13.2" x14ac:dyDescent="0.25">
      <c r="A103" t="s">
        <v>85</v>
      </c>
      <c r="B103" s="5" t="s">
        <v>18</v>
      </c>
      <c r="C103" s="5" t="s">
        <v>18</v>
      </c>
      <c r="D103" s="23">
        <v>0</v>
      </c>
      <c r="E103" s="10" t="s">
        <v>20</v>
      </c>
      <c r="F103" s="10" t="s">
        <v>19</v>
      </c>
      <c r="G103" s="8">
        <v>0.33333333333333331</v>
      </c>
      <c r="H103" s="8">
        <v>0.70833333333333337</v>
      </c>
      <c r="I103" s="10" t="s">
        <v>152</v>
      </c>
      <c r="J103" s="11" t="s">
        <v>32</v>
      </c>
      <c r="K103" s="20">
        <v>3500000</v>
      </c>
      <c r="L103" s="20">
        <v>1000000</v>
      </c>
      <c r="M103" s="20">
        <v>2000</v>
      </c>
      <c r="N103" s="14">
        <v>1800</v>
      </c>
    </row>
    <row r="104" spans="1:14" ht="13.2" x14ac:dyDescent="0.25">
      <c r="A104" s="5" t="s">
        <v>192</v>
      </c>
      <c r="B104" s="5" t="s">
        <v>193</v>
      </c>
      <c r="C104" s="5" t="s">
        <v>13</v>
      </c>
      <c r="D104" s="23">
        <v>0</v>
      </c>
      <c r="E104" s="10" t="s">
        <v>20</v>
      </c>
      <c r="F104" s="10" t="s">
        <v>20</v>
      </c>
      <c r="G104" s="8">
        <v>0.35416666666666669</v>
      </c>
      <c r="H104" s="8">
        <v>0.72916666666666663</v>
      </c>
      <c r="I104" s="10" t="s">
        <v>38</v>
      </c>
      <c r="J104" s="11" t="s">
        <v>36</v>
      </c>
      <c r="K104" s="20">
        <v>3500000</v>
      </c>
      <c r="L104" s="20">
        <v>1200000</v>
      </c>
      <c r="M104" s="20">
        <v>2000</v>
      </c>
      <c r="N104" s="9">
        <v>0</v>
      </c>
    </row>
    <row r="105" spans="1:14" ht="13.2" x14ac:dyDescent="0.25">
      <c r="A105" t="s">
        <v>78</v>
      </c>
      <c r="B105" t="s">
        <v>43</v>
      </c>
      <c r="C105" t="s">
        <v>43</v>
      </c>
      <c r="D105" s="22">
        <v>50</v>
      </c>
      <c r="E105" s="9" t="s">
        <v>19</v>
      </c>
      <c r="F105" s="9" t="s">
        <v>19</v>
      </c>
      <c r="G105" s="7">
        <v>0.41666666666666669</v>
      </c>
      <c r="H105" s="7">
        <v>0.70833333333333337</v>
      </c>
      <c r="I105" s="9" t="s">
        <v>149</v>
      </c>
      <c r="J105" s="11" t="s">
        <v>28</v>
      </c>
      <c r="K105" s="20">
        <v>10000000</v>
      </c>
      <c r="L105" s="12">
        <v>5000000</v>
      </c>
      <c r="M105" s="12">
        <v>6000</v>
      </c>
      <c r="N105" s="9">
        <v>1996</v>
      </c>
    </row>
    <row r="106" spans="1:14" ht="13.2" x14ac:dyDescent="0.25">
      <c r="A106" t="s">
        <v>171</v>
      </c>
      <c r="B106" s="5" t="s">
        <v>16</v>
      </c>
      <c r="C106" s="5" t="s">
        <v>16</v>
      </c>
      <c r="D106" s="22">
        <v>300</v>
      </c>
      <c r="E106" s="9" t="s">
        <v>19</v>
      </c>
      <c r="F106" s="9" t="s">
        <v>19</v>
      </c>
      <c r="G106" s="7">
        <v>0.375</v>
      </c>
      <c r="H106" s="7">
        <v>0.79166666666666663</v>
      </c>
      <c r="I106" s="9" t="s">
        <v>172</v>
      </c>
      <c r="J106" s="11" t="s">
        <v>36</v>
      </c>
      <c r="K106" s="12">
        <v>5000000</v>
      </c>
      <c r="L106" s="12">
        <v>1000000</v>
      </c>
      <c r="M106" s="12">
        <v>20000</v>
      </c>
      <c r="N106" s="9">
        <v>2004</v>
      </c>
    </row>
    <row r="107" spans="1:14" x14ac:dyDescent="0.25">
      <c r="A107" t="s">
        <v>118</v>
      </c>
      <c r="B107" t="s">
        <v>119</v>
      </c>
      <c r="C107" s="6" t="s">
        <v>25</v>
      </c>
      <c r="D107" s="22">
        <v>0</v>
      </c>
      <c r="E107" s="9" t="s">
        <v>19</v>
      </c>
      <c r="F107" s="9" t="s">
        <v>19</v>
      </c>
      <c r="G107" s="7">
        <v>0.25</v>
      </c>
      <c r="H107" s="7">
        <v>0.75</v>
      </c>
      <c r="I107" s="9" t="s">
        <v>41</v>
      </c>
      <c r="J107" s="11" t="s">
        <v>29</v>
      </c>
      <c r="K107" s="12">
        <v>5000000</v>
      </c>
      <c r="L107" s="12">
        <v>10000000</v>
      </c>
      <c r="M107" s="12">
        <v>3000</v>
      </c>
      <c r="N107" s="9">
        <v>0</v>
      </c>
    </row>
    <row r="108" spans="1:14" ht="13.2" x14ac:dyDescent="0.25">
      <c r="A108" t="s">
        <v>120</v>
      </c>
      <c r="B108" t="s">
        <v>119</v>
      </c>
      <c r="C108" s="6" t="s">
        <v>25</v>
      </c>
      <c r="D108" s="22">
        <v>0</v>
      </c>
      <c r="E108" s="9" t="s">
        <v>19</v>
      </c>
      <c r="F108" s="9" t="s">
        <v>19</v>
      </c>
      <c r="G108" s="7">
        <v>0.25</v>
      </c>
      <c r="H108" s="7">
        <v>0.75</v>
      </c>
      <c r="I108" s="9" t="s">
        <v>37</v>
      </c>
      <c r="J108" s="11" t="s">
        <v>36</v>
      </c>
      <c r="K108" s="20">
        <v>5000000</v>
      </c>
      <c r="L108" s="12">
        <v>10000000</v>
      </c>
      <c r="M108" s="12">
        <v>3000</v>
      </c>
      <c r="N108" s="9">
        <v>0</v>
      </c>
    </row>
    <row r="109" spans="1:14" ht="13.2" x14ac:dyDescent="0.25">
      <c r="A109" t="s">
        <v>121</v>
      </c>
      <c r="B109" t="s">
        <v>119</v>
      </c>
      <c r="C109" s="6" t="s">
        <v>25</v>
      </c>
      <c r="D109" s="22">
        <v>20</v>
      </c>
      <c r="E109" s="9" t="s">
        <v>19</v>
      </c>
      <c r="F109" s="9" t="s">
        <v>19</v>
      </c>
      <c r="G109" s="7">
        <v>0.25</v>
      </c>
      <c r="H109" s="7">
        <v>0.75</v>
      </c>
      <c r="I109" s="9" t="s">
        <v>149</v>
      </c>
      <c r="J109" s="11" t="s">
        <v>29</v>
      </c>
      <c r="K109" s="20">
        <v>2000000</v>
      </c>
      <c r="L109" s="12">
        <v>2500000</v>
      </c>
      <c r="M109" s="12">
        <v>3000</v>
      </c>
      <c r="N109" s="9">
        <v>0</v>
      </c>
    </row>
    <row r="110" spans="1:14" ht="13.2" x14ac:dyDescent="0.25">
      <c r="A110" t="s">
        <v>122</v>
      </c>
      <c r="B110" t="s">
        <v>119</v>
      </c>
      <c r="C110" s="6" t="s">
        <v>25</v>
      </c>
      <c r="D110" s="22">
        <v>0</v>
      </c>
      <c r="E110" s="9" t="s">
        <v>19</v>
      </c>
      <c r="F110" s="9" t="s">
        <v>19</v>
      </c>
      <c r="G110" s="7">
        <v>0.25</v>
      </c>
      <c r="H110" s="7">
        <v>0.75</v>
      </c>
      <c r="I110" s="9" t="s">
        <v>42</v>
      </c>
      <c r="J110" s="11" t="s">
        <v>28</v>
      </c>
      <c r="K110" s="20">
        <v>5000000</v>
      </c>
      <c r="L110" s="12">
        <v>2000000</v>
      </c>
      <c r="M110" s="12">
        <v>3000</v>
      </c>
      <c r="N110" s="9">
        <v>0</v>
      </c>
    </row>
    <row r="111" spans="1:14" ht="13.2" x14ac:dyDescent="0.25">
      <c r="A111" t="s">
        <v>123</v>
      </c>
      <c r="B111" t="s">
        <v>119</v>
      </c>
      <c r="C111" s="6" t="s">
        <v>25</v>
      </c>
      <c r="D111" s="22">
        <v>0</v>
      </c>
      <c r="E111" s="9" t="s">
        <v>19</v>
      </c>
      <c r="F111" s="9" t="s">
        <v>19</v>
      </c>
      <c r="G111" s="7">
        <v>0.25</v>
      </c>
      <c r="H111" s="7">
        <v>0.75</v>
      </c>
      <c r="I111" s="9" t="s">
        <v>149</v>
      </c>
      <c r="J111" s="11" t="s">
        <v>35</v>
      </c>
      <c r="K111" s="20">
        <v>5000000</v>
      </c>
      <c r="L111" s="20">
        <v>2500000</v>
      </c>
      <c r="M111" s="12">
        <v>3000</v>
      </c>
      <c r="N111" s="9">
        <v>0</v>
      </c>
    </row>
    <row r="112" spans="1:14" ht="13.2" x14ac:dyDescent="0.25">
      <c r="A112" t="s">
        <v>124</v>
      </c>
      <c r="B112" t="s">
        <v>119</v>
      </c>
      <c r="C112" s="6" t="s">
        <v>25</v>
      </c>
      <c r="D112" s="22">
        <v>0</v>
      </c>
      <c r="E112" s="9" t="s">
        <v>19</v>
      </c>
      <c r="F112" s="9" t="s">
        <v>19</v>
      </c>
      <c r="G112" s="7">
        <v>0.25</v>
      </c>
      <c r="H112" s="7">
        <v>0.75</v>
      </c>
      <c r="I112" s="9" t="s">
        <v>41</v>
      </c>
      <c r="J112" s="11" t="s">
        <v>35</v>
      </c>
      <c r="K112" s="12">
        <v>5000000</v>
      </c>
      <c r="L112" s="20">
        <v>2000000</v>
      </c>
      <c r="M112" s="12">
        <v>3000</v>
      </c>
      <c r="N112" s="9">
        <v>0</v>
      </c>
    </row>
    <row r="113" spans="1:14" ht="13.2" x14ac:dyDescent="0.25">
      <c r="A113" t="s">
        <v>125</v>
      </c>
      <c r="B113" t="s">
        <v>119</v>
      </c>
      <c r="C113" s="6" t="s">
        <v>25</v>
      </c>
      <c r="D113" s="22">
        <v>0</v>
      </c>
      <c r="E113" s="9" t="s">
        <v>19</v>
      </c>
      <c r="F113" s="9" t="s">
        <v>19</v>
      </c>
      <c r="G113" s="7">
        <v>0.25</v>
      </c>
      <c r="H113" s="7">
        <v>0.75</v>
      </c>
      <c r="I113" s="9" t="s">
        <v>41</v>
      </c>
      <c r="J113" s="11" t="s">
        <v>29</v>
      </c>
      <c r="K113" s="20">
        <v>3000000</v>
      </c>
      <c r="L113" s="20">
        <v>2000000</v>
      </c>
      <c r="M113" s="12">
        <v>3000</v>
      </c>
      <c r="N113" s="9">
        <v>0</v>
      </c>
    </row>
    <row r="114" spans="1:14" ht="13.2" x14ac:dyDescent="0.25">
      <c r="A114" t="s">
        <v>126</v>
      </c>
      <c r="B114" t="s">
        <v>119</v>
      </c>
      <c r="C114" s="6" t="s">
        <v>25</v>
      </c>
      <c r="D114" s="22">
        <v>0</v>
      </c>
      <c r="E114" s="9" t="s">
        <v>19</v>
      </c>
      <c r="F114" s="9" t="s">
        <v>19</v>
      </c>
      <c r="G114" s="7">
        <v>0.25</v>
      </c>
      <c r="H114" s="7">
        <v>0.75</v>
      </c>
      <c r="I114" s="9" t="s">
        <v>38</v>
      </c>
      <c r="J114" s="11" t="s">
        <v>101</v>
      </c>
      <c r="K114" s="20">
        <v>5000000</v>
      </c>
      <c r="L114" s="12">
        <v>4000000</v>
      </c>
      <c r="M114" s="12">
        <v>3000</v>
      </c>
      <c r="N114" s="9">
        <v>0</v>
      </c>
    </row>
    <row r="115" spans="1:14" ht="13.2" x14ac:dyDescent="0.25">
      <c r="A115" t="s">
        <v>127</v>
      </c>
      <c r="B115" t="s">
        <v>119</v>
      </c>
      <c r="C115" s="6" t="s">
        <v>25</v>
      </c>
      <c r="D115" s="22">
        <v>0</v>
      </c>
      <c r="E115" s="9" t="s">
        <v>19</v>
      </c>
      <c r="F115" s="9" t="s">
        <v>19</v>
      </c>
      <c r="G115" s="7">
        <v>0.25</v>
      </c>
      <c r="H115" s="7">
        <v>0.75</v>
      </c>
      <c r="I115" s="9" t="s">
        <v>37</v>
      </c>
      <c r="J115" s="11" t="s">
        <v>36</v>
      </c>
      <c r="K115" s="20">
        <v>5000000</v>
      </c>
      <c r="L115" s="12">
        <v>10000000</v>
      </c>
      <c r="M115" s="12">
        <v>3000</v>
      </c>
      <c r="N115" s="9">
        <v>0</v>
      </c>
    </row>
    <row r="116" spans="1:14" ht="13.2" x14ac:dyDescent="0.25">
      <c r="A116" t="s">
        <v>128</v>
      </c>
      <c r="B116" t="s">
        <v>119</v>
      </c>
      <c r="C116" s="6" t="s">
        <v>25</v>
      </c>
      <c r="D116" s="22">
        <v>0</v>
      </c>
      <c r="E116" s="9" t="s">
        <v>19</v>
      </c>
      <c r="F116" s="9" t="s">
        <v>19</v>
      </c>
      <c r="G116" s="7">
        <v>0.25</v>
      </c>
      <c r="H116" s="7">
        <v>0.75</v>
      </c>
      <c r="I116" s="9" t="s">
        <v>38</v>
      </c>
      <c r="J116" s="11" t="s">
        <v>101</v>
      </c>
      <c r="K116" s="20">
        <v>2000000</v>
      </c>
      <c r="L116" s="12">
        <v>2500000</v>
      </c>
      <c r="M116" s="12">
        <v>3000</v>
      </c>
      <c r="N116" s="9">
        <v>0</v>
      </c>
    </row>
    <row r="117" spans="1:14" ht="13.2" x14ac:dyDescent="0.25">
      <c r="A117" t="s">
        <v>67</v>
      </c>
      <c r="B117" t="s">
        <v>44</v>
      </c>
      <c r="C117" t="s">
        <v>12</v>
      </c>
      <c r="D117" s="22">
        <v>15</v>
      </c>
      <c r="E117" s="9" t="s">
        <v>19</v>
      </c>
      <c r="F117" s="9" t="s">
        <v>19</v>
      </c>
      <c r="G117" s="7">
        <v>0.25</v>
      </c>
      <c r="H117" s="7">
        <v>0.75</v>
      </c>
      <c r="I117" s="9" t="s">
        <v>149</v>
      </c>
      <c r="J117" s="11" t="s">
        <v>27</v>
      </c>
      <c r="K117" s="20">
        <v>100000</v>
      </c>
      <c r="L117" s="12">
        <v>80000</v>
      </c>
      <c r="M117" s="12">
        <v>1500</v>
      </c>
      <c r="N117" s="9">
        <v>1820</v>
      </c>
    </row>
    <row r="118" spans="1:14" ht="13.2" x14ac:dyDescent="0.25">
      <c r="A118" t="s">
        <v>69</v>
      </c>
      <c r="B118" t="s">
        <v>56</v>
      </c>
      <c r="C118" t="s">
        <v>12</v>
      </c>
      <c r="D118" s="22">
        <v>0</v>
      </c>
      <c r="E118" s="9" t="s">
        <v>19</v>
      </c>
      <c r="F118" s="9" t="s">
        <v>19</v>
      </c>
      <c r="G118" s="7">
        <v>0.25</v>
      </c>
      <c r="H118" s="7">
        <v>0.75</v>
      </c>
      <c r="I118" s="9" t="s">
        <v>42</v>
      </c>
      <c r="J118" s="11" t="s">
        <v>33</v>
      </c>
      <c r="K118" s="20">
        <v>5000000</v>
      </c>
      <c r="L118" s="12">
        <v>2000000</v>
      </c>
      <c r="M118" s="12">
        <v>3000</v>
      </c>
      <c r="N118" s="9">
        <v>0</v>
      </c>
    </row>
    <row r="119" spans="1:14" ht="13.2" x14ac:dyDescent="0.25">
      <c r="A119" t="s">
        <v>70</v>
      </c>
      <c r="B119" t="s">
        <v>56</v>
      </c>
      <c r="C119" t="s">
        <v>12</v>
      </c>
      <c r="D119" s="22">
        <v>0</v>
      </c>
      <c r="E119" s="9" t="s">
        <v>19</v>
      </c>
      <c r="F119" s="9" t="s">
        <v>19</v>
      </c>
      <c r="G119" s="7">
        <v>0.41666666666666669</v>
      </c>
      <c r="H119" s="7">
        <v>0.70833333333333337</v>
      </c>
      <c r="I119" s="9" t="s">
        <v>149</v>
      </c>
      <c r="J119" s="11" t="s">
        <v>28</v>
      </c>
      <c r="K119" s="12">
        <v>5000000</v>
      </c>
      <c r="L119" s="20">
        <v>2500000</v>
      </c>
      <c r="M119" s="12">
        <v>1500</v>
      </c>
      <c r="N119" s="9">
        <v>2008</v>
      </c>
    </row>
    <row r="120" spans="1:14" x14ac:dyDescent="0.25">
      <c r="A120" t="s">
        <v>71</v>
      </c>
      <c r="B120" t="s">
        <v>56</v>
      </c>
      <c r="C120" t="s">
        <v>12</v>
      </c>
      <c r="D120" s="22">
        <v>100</v>
      </c>
      <c r="E120" s="9" t="s">
        <v>19</v>
      </c>
      <c r="F120" s="9" t="s">
        <v>19</v>
      </c>
      <c r="G120" s="7">
        <v>0.25</v>
      </c>
      <c r="H120" s="7">
        <v>0.75</v>
      </c>
      <c r="I120" s="9" t="s">
        <v>149</v>
      </c>
      <c r="J120" s="11" t="s">
        <v>28</v>
      </c>
      <c r="K120" s="12">
        <v>5000000</v>
      </c>
      <c r="L120" s="12">
        <v>3000000</v>
      </c>
      <c r="M120" s="12">
        <v>2000</v>
      </c>
      <c r="N120" s="9">
        <v>2013</v>
      </c>
    </row>
    <row r="121" spans="1:14" ht="13.2" x14ac:dyDescent="0.25">
      <c r="A121" t="s">
        <v>194</v>
      </c>
      <c r="B121" t="s">
        <v>14</v>
      </c>
      <c r="C121" t="s">
        <v>14</v>
      </c>
      <c r="D121" s="22">
        <v>25</v>
      </c>
      <c r="E121" s="9" t="s">
        <v>19</v>
      </c>
      <c r="F121" s="9" t="s">
        <v>19</v>
      </c>
      <c r="G121" s="7">
        <v>0.25</v>
      </c>
      <c r="H121" s="7">
        <v>0.75</v>
      </c>
      <c r="I121" s="9" t="s">
        <v>149</v>
      </c>
      <c r="J121" s="11" t="s">
        <v>29</v>
      </c>
      <c r="K121" s="20">
        <v>10000000</v>
      </c>
      <c r="L121" s="12">
        <v>5000000</v>
      </c>
      <c r="M121" s="12">
        <v>3000</v>
      </c>
      <c r="N121" s="9">
        <v>1972</v>
      </c>
    </row>
  </sheetData>
  <conditionalFormatting sqref="B204:B1048576 B1:B24 B46:B48 B39:B40 B42:B44 B50:B68 B70:B79 B81:B83 B85:B96 B98:B105 B193 B123:B153 B155:B169 B107:B121 B26:B36">
    <cfRule type="containsText" dxfId="5" priority="3" operator="containsText" text="রাঙ্গামাটি">
      <formula>NOT(ISERROR(SEARCH("রাঙ্গামাটি",B1)))</formula>
    </cfRule>
  </conditionalFormatting>
  <conditionalFormatting sqref="B84:B85">
    <cfRule type="containsText" dxfId="4" priority="2" operator="containsText" text="রাঙ্গামাটি">
      <formula>NOT(ISERROR(SEARCH("রাঙ্গামাটি",B84)))</formula>
    </cfRule>
  </conditionalFormatting>
  <conditionalFormatting sqref="B37:B38">
    <cfRule type="containsText" dxfId="3" priority="1" operator="containsText" text="রাঙ্গামাটি">
      <formula>NOT(ISERROR(SEARCH("রাঙ্গামাটি",B37)))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B2FD9-E3D8-4C3C-9783-A194F32F51A7}">
  <sheetPr codeName="Sheet4"/>
  <dimension ref="D6:M157"/>
  <sheetViews>
    <sheetView zoomScale="64" zoomScaleNormal="160" workbookViewId="0">
      <selection activeCell="H14" sqref="H14"/>
    </sheetView>
  </sheetViews>
  <sheetFormatPr defaultRowHeight="12" x14ac:dyDescent="0.25"/>
  <sheetData>
    <row r="6" spans="4:13" x14ac:dyDescent="0.25">
      <c r="G6" s="3"/>
      <c r="H6" s="3"/>
      <c r="M6" s="4"/>
    </row>
    <row r="7" spans="4:13" x14ac:dyDescent="0.25">
      <c r="G7" s="3"/>
      <c r="H7" s="3"/>
      <c r="M7" s="4"/>
    </row>
    <row r="8" spans="4:13" x14ac:dyDescent="0.25">
      <c r="G8" s="3"/>
      <c r="H8" s="3"/>
      <c r="M8" s="4"/>
    </row>
    <row r="9" spans="4:13" x14ac:dyDescent="0.25">
      <c r="G9" s="3"/>
      <c r="H9" s="3"/>
      <c r="M9" s="4"/>
    </row>
    <row r="10" spans="4:13" ht="12" customHeight="1" x14ac:dyDescent="0.25">
      <c r="G10" s="3"/>
      <c r="H10" s="3"/>
      <c r="M10" s="4"/>
    </row>
    <row r="11" spans="4:13" ht="25.2" x14ac:dyDescent="0.45">
      <c r="D11" s="24"/>
      <c r="G11" s="3"/>
      <c r="H11" s="3"/>
      <c r="M11" s="4"/>
    </row>
    <row r="12" spans="4:13" ht="25.2" x14ac:dyDescent="0.45">
      <c r="D12" s="24" t="s">
        <v>217</v>
      </c>
    </row>
    <row r="13" spans="4:13" ht="25.2" x14ac:dyDescent="0.45">
      <c r="D13" s="24"/>
    </row>
    <row r="14" spans="4:13" ht="25.2" x14ac:dyDescent="0.45">
      <c r="D14" s="24" t="s">
        <v>218</v>
      </c>
      <c r="G14" s="3"/>
      <c r="H14" s="3"/>
      <c r="M14" s="4"/>
    </row>
    <row r="15" spans="4:13" ht="25.2" x14ac:dyDescent="0.45">
      <c r="D15" s="24"/>
      <c r="G15" s="3"/>
      <c r="H15" s="3"/>
      <c r="M15" s="4"/>
    </row>
    <row r="16" spans="4:13" ht="25.2" x14ac:dyDescent="0.45">
      <c r="D16" s="24" t="s">
        <v>219</v>
      </c>
      <c r="G16" s="3"/>
      <c r="H16" s="3"/>
      <c r="M16" s="4"/>
    </row>
    <row r="17" spans="4:13" ht="25.2" x14ac:dyDescent="0.45">
      <c r="D17" s="24"/>
      <c r="G17" s="3"/>
      <c r="H17" s="3"/>
      <c r="M17" s="4"/>
    </row>
    <row r="18" spans="4:13" ht="25.2" x14ac:dyDescent="0.45">
      <c r="D18" s="24" t="s">
        <v>220</v>
      </c>
      <c r="G18" s="3"/>
      <c r="H18" s="3"/>
      <c r="M18" s="4"/>
    </row>
    <row r="19" spans="4:13" ht="25.2" x14ac:dyDescent="0.45">
      <c r="D19" s="24"/>
    </row>
    <row r="20" spans="4:13" ht="25.2" x14ac:dyDescent="0.45">
      <c r="D20" s="24" t="s">
        <v>221</v>
      </c>
      <c r="G20" s="3"/>
      <c r="H20" s="3"/>
      <c r="M20" s="4"/>
    </row>
    <row r="21" spans="4:13" ht="25.2" x14ac:dyDescent="0.45">
      <c r="D21" s="24"/>
      <c r="G21" s="3"/>
      <c r="H21" s="3"/>
      <c r="M21" s="4"/>
    </row>
    <row r="22" spans="4:13" ht="25.2" x14ac:dyDescent="0.45">
      <c r="D22" s="24" t="s">
        <v>222</v>
      </c>
      <c r="G22" s="3"/>
      <c r="H22" s="3"/>
      <c r="M22" s="4"/>
    </row>
    <row r="23" spans="4:13" ht="25.2" x14ac:dyDescent="0.45">
      <c r="D23" s="24"/>
      <c r="G23" s="3"/>
      <c r="H23" s="3"/>
      <c r="M23" s="4"/>
    </row>
    <row r="24" spans="4:13" ht="25.2" x14ac:dyDescent="0.45">
      <c r="D24" s="24" t="s">
        <v>224</v>
      </c>
      <c r="G24" s="3"/>
      <c r="H24" s="3"/>
      <c r="M24" s="4"/>
    </row>
    <row r="25" spans="4:13" ht="25.2" x14ac:dyDescent="0.45">
      <c r="D25" s="24"/>
      <c r="G25" s="3"/>
      <c r="H25" s="3"/>
      <c r="M25" s="4"/>
    </row>
    <row r="26" spans="4:13" ht="25.2" x14ac:dyDescent="0.45">
      <c r="D26" s="24" t="s">
        <v>223</v>
      </c>
      <c r="G26" s="3"/>
      <c r="H26" s="3"/>
      <c r="M26" s="4"/>
    </row>
    <row r="27" spans="4:13" ht="22.8" customHeight="1" x14ac:dyDescent="0.45">
      <c r="D27" s="24"/>
      <c r="G27" s="3"/>
      <c r="H27" s="3"/>
      <c r="M27" s="4"/>
    </row>
    <row r="28" spans="4:13" ht="25.2" x14ac:dyDescent="0.45">
      <c r="D28" s="24" t="s">
        <v>225</v>
      </c>
      <c r="G28" s="3"/>
      <c r="H28" s="3"/>
      <c r="M28" s="4"/>
    </row>
    <row r="29" spans="4:13" ht="12" customHeight="1" x14ac:dyDescent="0.25">
      <c r="E29" t="s">
        <v>199</v>
      </c>
      <c r="G29" s="3"/>
      <c r="H29" s="3"/>
      <c r="M29" s="4"/>
    </row>
    <row r="30" spans="4:13" ht="12" customHeight="1" x14ac:dyDescent="0.25">
      <c r="G30" s="3"/>
      <c r="H30" s="3"/>
      <c r="M30" s="4"/>
    </row>
    <row r="31" spans="4:13" ht="12" customHeight="1" x14ac:dyDescent="0.25">
      <c r="G31" s="3"/>
      <c r="H31" s="3"/>
      <c r="M31" s="4"/>
    </row>
    <row r="32" spans="4:13" ht="12" customHeight="1" x14ac:dyDescent="0.25">
      <c r="G32" s="3"/>
      <c r="H32" s="3"/>
      <c r="M32" s="4"/>
    </row>
    <row r="33" spans="7:13" ht="12" customHeight="1" x14ac:dyDescent="0.25">
      <c r="G33" s="3"/>
      <c r="H33" s="3"/>
      <c r="M33" s="4"/>
    </row>
    <row r="34" spans="7:13" x14ac:dyDescent="0.25">
      <c r="G34" s="3"/>
      <c r="H34" s="3"/>
      <c r="M34" s="4"/>
    </row>
    <row r="35" spans="7:13" x14ac:dyDescent="0.25">
      <c r="G35" s="3"/>
      <c r="H35" s="3"/>
      <c r="M35" s="4"/>
    </row>
    <row r="37" spans="7:13" x14ac:dyDescent="0.25">
      <c r="G37" s="3"/>
      <c r="H37" s="3"/>
      <c r="M37" s="4"/>
    </row>
    <row r="38" spans="7:13" x14ac:dyDescent="0.25">
      <c r="G38" s="3"/>
      <c r="H38" s="3"/>
      <c r="M38" s="4"/>
    </row>
    <row r="39" spans="7:13" x14ac:dyDescent="0.25">
      <c r="G39" s="3"/>
      <c r="H39" s="3"/>
      <c r="M39" s="4"/>
    </row>
    <row r="40" spans="7:13" x14ac:dyDescent="0.25">
      <c r="G40" s="3"/>
      <c r="H40" s="3"/>
      <c r="M40" s="4"/>
    </row>
    <row r="41" spans="7:13" x14ac:dyDescent="0.25">
      <c r="G41" s="3"/>
      <c r="H41" s="3"/>
      <c r="M41" s="4"/>
    </row>
    <row r="42" spans="7:13" x14ac:dyDescent="0.25">
      <c r="G42" s="3"/>
      <c r="H42" s="3"/>
      <c r="M42" s="4"/>
    </row>
    <row r="43" spans="7:13" x14ac:dyDescent="0.25">
      <c r="G43" s="3"/>
      <c r="H43" s="3"/>
      <c r="M43" s="4"/>
    </row>
    <row r="45" spans="7:13" x14ac:dyDescent="0.25">
      <c r="G45" s="3"/>
      <c r="H45" s="3"/>
      <c r="M45" s="4"/>
    </row>
    <row r="46" spans="7:13" x14ac:dyDescent="0.25">
      <c r="G46" s="3"/>
      <c r="H46" s="3"/>
      <c r="M46" s="4"/>
    </row>
    <row r="47" spans="7:13" x14ac:dyDescent="0.25">
      <c r="G47" s="3"/>
      <c r="H47" s="3"/>
      <c r="M47" s="4"/>
    </row>
    <row r="48" spans="7:13" x14ac:dyDescent="0.25">
      <c r="G48" s="3"/>
      <c r="H48" s="3"/>
      <c r="M48" s="4"/>
    </row>
    <row r="49" spans="7:13" x14ac:dyDescent="0.25">
      <c r="G49" s="3"/>
      <c r="H49" s="3"/>
      <c r="M49" s="4"/>
    </row>
    <row r="50" spans="7:13" x14ac:dyDescent="0.25">
      <c r="G50" s="3"/>
      <c r="H50" s="3"/>
      <c r="M50" s="4"/>
    </row>
    <row r="52" spans="7:13" x14ac:dyDescent="0.25">
      <c r="G52" s="3"/>
      <c r="H52" s="3"/>
      <c r="M52" s="4"/>
    </row>
    <row r="53" spans="7:13" x14ac:dyDescent="0.25">
      <c r="G53" s="3"/>
      <c r="H53" s="3"/>
      <c r="M53" s="4"/>
    </row>
    <row r="54" spans="7:13" x14ac:dyDescent="0.25">
      <c r="G54" s="3"/>
      <c r="H54" s="3"/>
      <c r="M54" s="4"/>
    </row>
    <row r="55" spans="7:13" x14ac:dyDescent="0.25">
      <c r="G55" s="3"/>
      <c r="H55" s="3"/>
      <c r="M55" s="4"/>
    </row>
    <row r="56" spans="7:13" x14ac:dyDescent="0.25">
      <c r="G56" s="3"/>
      <c r="H56" s="3"/>
      <c r="M56" s="4"/>
    </row>
    <row r="57" spans="7:13" x14ac:dyDescent="0.25">
      <c r="G57" s="3"/>
    </row>
    <row r="59" spans="7:13" x14ac:dyDescent="0.25">
      <c r="G59" s="3"/>
      <c r="H59" s="3"/>
      <c r="M59" s="4"/>
    </row>
    <row r="60" spans="7:13" x14ac:dyDescent="0.25">
      <c r="G60" s="3"/>
      <c r="H60" s="3"/>
      <c r="M60" s="4"/>
    </row>
    <row r="61" spans="7:13" x14ac:dyDescent="0.25">
      <c r="G61" s="3"/>
      <c r="H61" s="3"/>
      <c r="M61" s="4"/>
    </row>
    <row r="62" spans="7:13" x14ac:dyDescent="0.25">
      <c r="G62" s="3"/>
      <c r="H62" s="3"/>
      <c r="M62" s="4"/>
    </row>
    <row r="63" spans="7:13" x14ac:dyDescent="0.25">
      <c r="G63" s="3"/>
      <c r="H63" s="3"/>
      <c r="M63" s="4"/>
    </row>
    <row r="66" spans="7:13" x14ac:dyDescent="0.25">
      <c r="G66" s="3"/>
      <c r="H66" s="3"/>
      <c r="M66" s="4"/>
    </row>
    <row r="67" spans="7:13" x14ac:dyDescent="0.25">
      <c r="G67" s="3"/>
      <c r="H67" s="3"/>
      <c r="M67" s="4"/>
    </row>
    <row r="68" spans="7:13" x14ac:dyDescent="0.25">
      <c r="G68" s="3"/>
      <c r="H68" s="3"/>
      <c r="M68" s="4"/>
    </row>
    <row r="69" spans="7:13" x14ac:dyDescent="0.25">
      <c r="G69" s="3"/>
      <c r="H69" s="3"/>
      <c r="M69" s="4"/>
    </row>
    <row r="70" spans="7:13" x14ac:dyDescent="0.25">
      <c r="G70" s="3"/>
      <c r="H70" s="3"/>
      <c r="M70" s="4"/>
    </row>
    <row r="71" spans="7:13" x14ac:dyDescent="0.25">
      <c r="G71" s="3"/>
      <c r="H71" s="3"/>
      <c r="M71" s="4"/>
    </row>
    <row r="72" spans="7:13" x14ac:dyDescent="0.25">
      <c r="G72" s="3"/>
      <c r="H72" s="3"/>
      <c r="M72" s="4"/>
    </row>
    <row r="73" spans="7:13" x14ac:dyDescent="0.25">
      <c r="G73" s="3"/>
      <c r="H73" s="3"/>
      <c r="M73" s="4"/>
    </row>
    <row r="74" spans="7:13" x14ac:dyDescent="0.25">
      <c r="G74" s="3"/>
      <c r="H74" s="3"/>
      <c r="M74" s="4"/>
    </row>
    <row r="75" spans="7:13" x14ac:dyDescent="0.25">
      <c r="G75" s="3"/>
      <c r="H75" s="3"/>
      <c r="M75" s="4"/>
    </row>
    <row r="76" spans="7:13" x14ac:dyDescent="0.25">
      <c r="G76" s="3"/>
      <c r="H76" s="3"/>
      <c r="M76" s="4"/>
    </row>
    <row r="78" spans="7:13" x14ac:dyDescent="0.25">
      <c r="G78" s="3"/>
      <c r="H78" s="3"/>
      <c r="M78" s="4"/>
    </row>
    <row r="79" spans="7:13" x14ac:dyDescent="0.25">
      <c r="G79" s="3"/>
      <c r="H79" s="3"/>
      <c r="M79" s="4"/>
    </row>
    <row r="80" spans="7:13" x14ac:dyDescent="0.25">
      <c r="G80" s="3"/>
      <c r="H80" s="3"/>
      <c r="M80" s="4"/>
    </row>
    <row r="81" spans="7:13" x14ac:dyDescent="0.25">
      <c r="G81" s="3"/>
      <c r="H81" s="3"/>
      <c r="M81" s="4"/>
    </row>
    <row r="82" spans="7:13" x14ac:dyDescent="0.25">
      <c r="G82" s="3"/>
      <c r="H82" s="3"/>
      <c r="M82" s="4"/>
    </row>
    <row r="83" spans="7:13" x14ac:dyDescent="0.25">
      <c r="G83" s="3"/>
      <c r="H83" s="3"/>
      <c r="M83" s="4"/>
    </row>
    <row r="84" spans="7:13" x14ac:dyDescent="0.25">
      <c r="G84" s="3"/>
      <c r="H84" s="3"/>
      <c r="M84" s="4"/>
    </row>
    <row r="85" spans="7:13" x14ac:dyDescent="0.25">
      <c r="G85" s="3"/>
      <c r="H85" s="3"/>
      <c r="M85" s="4"/>
    </row>
    <row r="86" spans="7:13" x14ac:dyDescent="0.25">
      <c r="G86" s="3"/>
      <c r="H86" s="3"/>
      <c r="M86" s="4"/>
    </row>
    <row r="87" spans="7:13" x14ac:dyDescent="0.25">
      <c r="G87" s="3"/>
      <c r="H87" s="3"/>
      <c r="M87" s="4"/>
    </row>
    <row r="89" spans="7:13" x14ac:dyDescent="0.25">
      <c r="G89" s="3"/>
      <c r="H89" s="3"/>
      <c r="M89" s="4"/>
    </row>
    <row r="90" spans="7:13" x14ac:dyDescent="0.25">
      <c r="G90" s="3"/>
      <c r="H90" s="3"/>
      <c r="M90" s="4"/>
    </row>
    <row r="91" spans="7:13" x14ac:dyDescent="0.25">
      <c r="G91" s="3"/>
      <c r="H91" s="3"/>
      <c r="M91" s="4"/>
    </row>
    <row r="92" spans="7:13" x14ac:dyDescent="0.25">
      <c r="G92" s="3"/>
      <c r="H92" s="3"/>
      <c r="M92" s="4"/>
    </row>
    <row r="93" spans="7:13" x14ac:dyDescent="0.25">
      <c r="G93" s="3"/>
      <c r="H93" s="3"/>
      <c r="M93" s="4"/>
    </row>
    <row r="94" spans="7:13" x14ac:dyDescent="0.25">
      <c r="G94" s="3"/>
      <c r="H94" s="3"/>
      <c r="M94" s="4"/>
    </row>
    <row r="95" spans="7:13" x14ac:dyDescent="0.25">
      <c r="G95" s="3"/>
      <c r="H95" s="3"/>
      <c r="M95" s="4"/>
    </row>
    <row r="96" spans="7:13" x14ac:dyDescent="0.25">
      <c r="G96" s="3"/>
      <c r="H96" s="3"/>
      <c r="M96" s="4"/>
    </row>
    <row r="97" spans="7:13" x14ac:dyDescent="0.25">
      <c r="G97" s="3"/>
      <c r="H97" s="3"/>
      <c r="M97" s="4"/>
    </row>
    <row r="98" spans="7:13" x14ac:dyDescent="0.25">
      <c r="G98" s="3"/>
      <c r="H98" s="3"/>
      <c r="M98" s="4"/>
    </row>
    <row r="100" spans="7:13" x14ac:dyDescent="0.25">
      <c r="G100" s="3"/>
      <c r="H100" s="3"/>
      <c r="M100" s="4"/>
    </row>
    <row r="101" spans="7:13" x14ac:dyDescent="0.25">
      <c r="G101" s="3"/>
      <c r="H101" s="3"/>
      <c r="M101" s="4"/>
    </row>
    <row r="102" spans="7:13" x14ac:dyDescent="0.25">
      <c r="G102" s="3"/>
      <c r="H102" s="3"/>
      <c r="M102" s="4"/>
    </row>
    <row r="103" spans="7:13" x14ac:dyDescent="0.25">
      <c r="G103" s="3"/>
      <c r="H103" s="3"/>
      <c r="M103" s="4"/>
    </row>
    <row r="104" spans="7:13" x14ac:dyDescent="0.25">
      <c r="G104" s="3"/>
      <c r="H104" s="3"/>
      <c r="M104" s="4"/>
    </row>
    <row r="105" spans="7:13" x14ac:dyDescent="0.25">
      <c r="G105" s="3"/>
      <c r="H105" s="3"/>
      <c r="M105" s="4"/>
    </row>
    <row r="106" spans="7:13" x14ac:dyDescent="0.25">
      <c r="G106" s="3"/>
      <c r="H106" s="3"/>
      <c r="M106" s="4"/>
    </row>
    <row r="107" spans="7:13" x14ac:dyDescent="0.25">
      <c r="G107" s="3"/>
      <c r="H107" s="3"/>
      <c r="M107" s="4"/>
    </row>
    <row r="108" spans="7:13" x14ac:dyDescent="0.25">
      <c r="G108" s="3"/>
      <c r="H108" s="3"/>
      <c r="M108" s="4"/>
    </row>
    <row r="110" spans="7:13" x14ac:dyDescent="0.25">
      <c r="G110" s="3"/>
      <c r="H110" s="3"/>
      <c r="M110" s="4"/>
    </row>
    <row r="111" spans="7:13" x14ac:dyDescent="0.25">
      <c r="G111" s="3"/>
      <c r="H111" s="3"/>
      <c r="M111" s="4"/>
    </row>
    <row r="112" spans="7:13" x14ac:dyDescent="0.25">
      <c r="G112" s="3"/>
      <c r="H112" s="3"/>
      <c r="M112" s="4"/>
    </row>
    <row r="113" spans="7:13" x14ac:dyDescent="0.25">
      <c r="G113" s="3"/>
      <c r="H113" s="3"/>
      <c r="M113" s="4"/>
    </row>
    <row r="114" spans="7:13" x14ac:dyDescent="0.25">
      <c r="G114" s="3"/>
      <c r="H114" s="3"/>
      <c r="M114" s="4"/>
    </row>
    <row r="115" spans="7:13" x14ac:dyDescent="0.25">
      <c r="G115" s="3"/>
      <c r="H115" s="3"/>
      <c r="M115" s="4"/>
    </row>
    <row r="116" spans="7:13" x14ac:dyDescent="0.25">
      <c r="G116" s="3"/>
      <c r="H116" s="3"/>
      <c r="M116" s="4"/>
    </row>
    <row r="117" spans="7:13" x14ac:dyDescent="0.25">
      <c r="G117" s="3"/>
      <c r="H117" s="3"/>
      <c r="M117" s="4"/>
    </row>
    <row r="118" spans="7:13" x14ac:dyDescent="0.25">
      <c r="G118" s="3"/>
      <c r="H118" s="3"/>
      <c r="M118" s="4"/>
    </row>
    <row r="119" spans="7:13" x14ac:dyDescent="0.25">
      <c r="G119" s="3"/>
      <c r="H119" s="3"/>
      <c r="M119" s="4"/>
    </row>
    <row r="120" spans="7:13" x14ac:dyDescent="0.25">
      <c r="G120" s="3"/>
      <c r="H120" s="3"/>
      <c r="M120" s="4"/>
    </row>
    <row r="122" spans="7:13" x14ac:dyDescent="0.25">
      <c r="G122" s="3"/>
      <c r="H122" s="3"/>
      <c r="M122" s="4"/>
    </row>
    <row r="123" spans="7:13" x14ac:dyDescent="0.25">
      <c r="G123" s="3"/>
      <c r="H123" s="3"/>
      <c r="M123" s="4"/>
    </row>
    <row r="124" spans="7:13" x14ac:dyDescent="0.25">
      <c r="G124" s="3"/>
      <c r="H124" s="3"/>
      <c r="M124" s="4"/>
    </row>
    <row r="125" spans="7:13" x14ac:dyDescent="0.25">
      <c r="G125" s="3"/>
      <c r="H125" s="3"/>
      <c r="M125" s="4"/>
    </row>
    <row r="126" spans="7:13" x14ac:dyDescent="0.25">
      <c r="G126" s="3"/>
      <c r="H126" s="3"/>
      <c r="M126" s="4"/>
    </row>
    <row r="127" spans="7:13" x14ac:dyDescent="0.25">
      <c r="G127" s="3"/>
      <c r="H127" s="3"/>
      <c r="M127" s="4"/>
    </row>
    <row r="128" spans="7:13" x14ac:dyDescent="0.25">
      <c r="G128" s="3"/>
      <c r="H128" s="3"/>
      <c r="M128" s="4"/>
    </row>
    <row r="129" spans="7:13" x14ac:dyDescent="0.25">
      <c r="G129" s="3"/>
      <c r="H129" s="3"/>
      <c r="M129" s="4"/>
    </row>
    <row r="130" spans="7:13" x14ac:dyDescent="0.25">
      <c r="G130" s="3"/>
      <c r="H130" s="3"/>
      <c r="M130" s="4"/>
    </row>
    <row r="131" spans="7:13" x14ac:dyDescent="0.25">
      <c r="G131" s="3"/>
      <c r="H131" s="3"/>
      <c r="M131" s="4"/>
    </row>
    <row r="132" spans="7:13" x14ac:dyDescent="0.25">
      <c r="G132" s="3"/>
      <c r="H132" s="3"/>
      <c r="M132" s="4"/>
    </row>
    <row r="133" spans="7:13" x14ac:dyDescent="0.25">
      <c r="G133" s="3"/>
      <c r="H133" s="3"/>
      <c r="M133" s="4"/>
    </row>
    <row r="134" spans="7:13" x14ac:dyDescent="0.25">
      <c r="G134" s="3"/>
      <c r="H134" s="3"/>
      <c r="M134" s="4"/>
    </row>
    <row r="136" spans="7:13" x14ac:dyDescent="0.25">
      <c r="G136" s="3"/>
      <c r="H136" s="3"/>
      <c r="M136" s="4"/>
    </row>
    <row r="137" spans="7:13" x14ac:dyDescent="0.25">
      <c r="G137" s="3"/>
      <c r="H137" s="3"/>
      <c r="M137" s="4"/>
    </row>
    <row r="138" spans="7:13" x14ac:dyDescent="0.25">
      <c r="G138" s="3"/>
      <c r="H138" s="3"/>
      <c r="M138" s="4"/>
    </row>
    <row r="139" spans="7:13" x14ac:dyDescent="0.25">
      <c r="G139" s="3"/>
      <c r="H139" s="3"/>
      <c r="M139" s="4"/>
    </row>
    <row r="140" spans="7:13" x14ac:dyDescent="0.25">
      <c r="G140" s="3"/>
      <c r="H140" s="3"/>
      <c r="M140" s="4"/>
    </row>
    <row r="141" spans="7:13" x14ac:dyDescent="0.25">
      <c r="G141" s="3"/>
      <c r="H141" s="3"/>
      <c r="M141" s="4"/>
    </row>
    <row r="142" spans="7:13" x14ac:dyDescent="0.25">
      <c r="G142" s="3"/>
      <c r="H142" s="3"/>
      <c r="M142" s="4"/>
    </row>
    <row r="143" spans="7:13" x14ac:dyDescent="0.25">
      <c r="G143" s="3"/>
      <c r="H143" s="3"/>
      <c r="M143" s="4"/>
    </row>
    <row r="144" spans="7:13" x14ac:dyDescent="0.25">
      <c r="G144" s="3"/>
      <c r="H144" s="3"/>
      <c r="M144" s="4"/>
    </row>
    <row r="145" spans="7:13" x14ac:dyDescent="0.25">
      <c r="G145" s="3"/>
      <c r="H145" s="3"/>
      <c r="M145" s="4"/>
    </row>
    <row r="146" spans="7:13" x14ac:dyDescent="0.25">
      <c r="G146" s="3"/>
      <c r="H146" s="3"/>
      <c r="M146" s="4"/>
    </row>
    <row r="148" spans="7:13" x14ac:dyDescent="0.25">
      <c r="G148" s="3"/>
      <c r="H148" s="3"/>
      <c r="M148" s="4"/>
    </row>
    <row r="149" spans="7:13" x14ac:dyDescent="0.25">
      <c r="G149" s="3"/>
      <c r="H149" s="3"/>
      <c r="M149" s="4"/>
    </row>
    <row r="150" spans="7:13" x14ac:dyDescent="0.25">
      <c r="G150" s="3"/>
      <c r="H150" s="3"/>
      <c r="M150" s="4"/>
    </row>
    <row r="151" spans="7:13" x14ac:dyDescent="0.25">
      <c r="G151" s="3"/>
      <c r="H151" s="3"/>
      <c r="M151" s="4"/>
    </row>
    <row r="152" spans="7:13" x14ac:dyDescent="0.25">
      <c r="G152" s="3"/>
      <c r="H152" s="3"/>
      <c r="M152" s="4"/>
    </row>
    <row r="153" spans="7:13" x14ac:dyDescent="0.25">
      <c r="G153" s="3"/>
      <c r="H153" s="3"/>
      <c r="M153" s="4"/>
    </row>
    <row r="154" spans="7:13" x14ac:dyDescent="0.25">
      <c r="G154" s="3"/>
      <c r="H154" s="3"/>
      <c r="M154" s="4"/>
    </row>
    <row r="155" spans="7:13" x14ac:dyDescent="0.25">
      <c r="G155" s="3"/>
      <c r="H155" s="3"/>
      <c r="M155" s="4"/>
    </row>
    <row r="156" spans="7:13" x14ac:dyDescent="0.25">
      <c r="G156" s="3"/>
      <c r="H156" s="3"/>
      <c r="M156" s="4"/>
    </row>
    <row r="157" spans="7:13" x14ac:dyDescent="0.25">
      <c r="G157" s="3"/>
      <c r="H157" s="3"/>
      <c r="M157" s="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46FF3-4785-45AF-B792-DE46B6930230}">
  <dimension ref="A2:B125"/>
  <sheetViews>
    <sheetView topLeftCell="B15" zoomScale="134" workbookViewId="0">
      <selection activeCell="B12" sqref="B12"/>
    </sheetView>
  </sheetViews>
  <sheetFormatPr defaultRowHeight="12" x14ac:dyDescent="0.25"/>
  <cols>
    <col min="1" max="1" width="43.7109375" bestFit="1" customWidth="1"/>
    <col min="2" max="2" width="32.28515625" bestFit="1" customWidth="1"/>
  </cols>
  <sheetData>
    <row r="2" spans="1:2" x14ac:dyDescent="0.25">
      <c r="A2" s="46" t="s">
        <v>210</v>
      </c>
      <c r="B2" s="46"/>
    </row>
    <row r="5" spans="1:2" x14ac:dyDescent="0.25">
      <c r="A5" s="25" t="s">
        <v>200</v>
      </c>
      <c r="B5" t="s">
        <v>202</v>
      </c>
    </row>
    <row r="6" spans="1:2" x14ac:dyDescent="0.25">
      <c r="A6" s="11" t="s">
        <v>142</v>
      </c>
      <c r="B6" s="26">
        <v>10000000</v>
      </c>
    </row>
    <row r="7" spans="1:2" x14ac:dyDescent="0.25">
      <c r="A7" s="11" t="s">
        <v>118</v>
      </c>
      <c r="B7" s="26">
        <v>5000000</v>
      </c>
    </row>
    <row r="8" spans="1:2" x14ac:dyDescent="0.25">
      <c r="A8" s="11" t="s">
        <v>104</v>
      </c>
      <c r="B8" s="26">
        <v>3500000</v>
      </c>
    </row>
    <row r="9" spans="1:2" x14ac:dyDescent="0.25">
      <c r="A9" s="11" t="s">
        <v>145</v>
      </c>
      <c r="B9" s="26">
        <v>2000000</v>
      </c>
    </row>
    <row r="10" spans="1:2" x14ac:dyDescent="0.25">
      <c r="A10" s="11" t="s">
        <v>91</v>
      </c>
      <c r="B10" s="26">
        <v>3000000</v>
      </c>
    </row>
    <row r="11" spans="1:2" x14ac:dyDescent="0.25">
      <c r="A11" s="11" t="s">
        <v>141</v>
      </c>
      <c r="B11" s="26">
        <v>5000000</v>
      </c>
    </row>
    <row r="12" spans="1:2" x14ac:dyDescent="0.25">
      <c r="A12" s="11" t="s">
        <v>75</v>
      </c>
      <c r="B12" s="26">
        <v>2000000</v>
      </c>
    </row>
    <row r="13" spans="1:2" x14ac:dyDescent="0.25">
      <c r="A13" s="11" t="s">
        <v>140</v>
      </c>
      <c r="B13" s="26">
        <v>10000000</v>
      </c>
    </row>
    <row r="14" spans="1:2" x14ac:dyDescent="0.25">
      <c r="A14" s="11" t="s">
        <v>76</v>
      </c>
      <c r="B14" s="26">
        <v>2000000</v>
      </c>
    </row>
    <row r="15" spans="1:2" x14ac:dyDescent="0.25">
      <c r="A15" s="11" t="s">
        <v>83</v>
      </c>
      <c r="B15" s="26">
        <v>20000000</v>
      </c>
    </row>
    <row r="16" spans="1:2" x14ac:dyDescent="0.25">
      <c r="A16" s="11" t="s">
        <v>196</v>
      </c>
      <c r="B16" s="26">
        <v>2000000</v>
      </c>
    </row>
    <row r="17" spans="1:2" x14ac:dyDescent="0.25">
      <c r="A17" s="11" t="s">
        <v>52</v>
      </c>
      <c r="B17" s="26">
        <v>20000000</v>
      </c>
    </row>
    <row r="18" spans="1:2" x14ac:dyDescent="0.25">
      <c r="A18" s="11" t="s">
        <v>80</v>
      </c>
      <c r="B18" s="26">
        <v>8000000</v>
      </c>
    </row>
    <row r="19" spans="1:2" x14ac:dyDescent="0.25">
      <c r="A19" s="11" t="s">
        <v>82</v>
      </c>
      <c r="B19" s="26">
        <v>5000000</v>
      </c>
    </row>
    <row r="20" spans="1:2" x14ac:dyDescent="0.25">
      <c r="A20" s="11" t="s">
        <v>60</v>
      </c>
      <c r="B20" s="26">
        <v>2000000</v>
      </c>
    </row>
    <row r="21" spans="1:2" x14ac:dyDescent="0.25">
      <c r="A21" s="11" t="s">
        <v>54</v>
      </c>
      <c r="B21" s="26">
        <v>10000000</v>
      </c>
    </row>
    <row r="22" spans="1:2" x14ac:dyDescent="0.25">
      <c r="A22" s="11" t="s">
        <v>159</v>
      </c>
      <c r="B22" s="26">
        <v>3500000</v>
      </c>
    </row>
    <row r="23" spans="1:2" x14ac:dyDescent="0.25">
      <c r="A23" s="11" t="s">
        <v>88</v>
      </c>
      <c r="B23" s="26">
        <v>2000000</v>
      </c>
    </row>
    <row r="24" spans="1:2" x14ac:dyDescent="0.25">
      <c r="A24" s="11" t="s">
        <v>70</v>
      </c>
      <c r="B24" s="26">
        <v>5000000</v>
      </c>
    </row>
    <row r="25" spans="1:2" x14ac:dyDescent="0.25">
      <c r="A25" s="11" t="s">
        <v>113</v>
      </c>
      <c r="B25" s="26">
        <v>3500000</v>
      </c>
    </row>
    <row r="26" spans="1:2" x14ac:dyDescent="0.25">
      <c r="A26" s="11" t="s">
        <v>95</v>
      </c>
      <c r="B26" s="26">
        <v>20000000</v>
      </c>
    </row>
    <row r="27" spans="1:2" x14ac:dyDescent="0.25">
      <c r="A27" s="11" t="s">
        <v>103</v>
      </c>
      <c r="B27" s="26">
        <v>5000000</v>
      </c>
    </row>
    <row r="28" spans="1:2" x14ac:dyDescent="0.25">
      <c r="A28" s="11" t="s">
        <v>65</v>
      </c>
      <c r="B28" s="26">
        <v>3500000</v>
      </c>
    </row>
    <row r="29" spans="1:2" x14ac:dyDescent="0.25">
      <c r="A29" s="11" t="s">
        <v>137</v>
      </c>
      <c r="B29" s="26">
        <v>20000000</v>
      </c>
    </row>
    <row r="30" spans="1:2" x14ac:dyDescent="0.25">
      <c r="A30" s="11" t="s">
        <v>168</v>
      </c>
      <c r="B30" s="26">
        <v>50000000</v>
      </c>
    </row>
    <row r="31" spans="1:2" x14ac:dyDescent="0.25">
      <c r="A31" s="11" t="s">
        <v>97</v>
      </c>
      <c r="B31" s="26">
        <v>3500000</v>
      </c>
    </row>
    <row r="32" spans="1:2" x14ac:dyDescent="0.25">
      <c r="A32" s="11" t="s">
        <v>177</v>
      </c>
      <c r="B32" s="26">
        <v>3500000</v>
      </c>
    </row>
    <row r="33" spans="1:2" x14ac:dyDescent="0.25">
      <c r="A33" s="11" t="s">
        <v>169</v>
      </c>
      <c r="B33" s="26">
        <v>4000000</v>
      </c>
    </row>
    <row r="34" spans="1:2" x14ac:dyDescent="0.25">
      <c r="A34" s="11" t="s">
        <v>188</v>
      </c>
      <c r="B34" s="26">
        <v>50000000</v>
      </c>
    </row>
    <row r="35" spans="1:2" x14ac:dyDescent="0.25">
      <c r="A35" s="11" t="s">
        <v>138</v>
      </c>
      <c r="B35" s="26">
        <v>50000000</v>
      </c>
    </row>
    <row r="36" spans="1:2" x14ac:dyDescent="0.25">
      <c r="A36" s="11" t="s">
        <v>99</v>
      </c>
      <c r="B36" s="26">
        <v>4000000</v>
      </c>
    </row>
    <row r="37" spans="1:2" x14ac:dyDescent="0.25">
      <c r="A37" s="11" t="s">
        <v>143</v>
      </c>
      <c r="B37" s="26">
        <v>10000000</v>
      </c>
    </row>
    <row r="38" spans="1:2" x14ac:dyDescent="0.25">
      <c r="A38" s="11" t="s">
        <v>117</v>
      </c>
      <c r="B38" s="26">
        <v>2000000</v>
      </c>
    </row>
    <row r="39" spans="1:2" x14ac:dyDescent="0.25">
      <c r="A39" s="11" t="s">
        <v>50</v>
      </c>
      <c r="B39" s="26">
        <v>1000000</v>
      </c>
    </row>
    <row r="40" spans="1:2" x14ac:dyDescent="0.25">
      <c r="A40" s="11" t="s">
        <v>171</v>
      </c>
      <c r="B40" s="26">
        <v>5000000</v>
      </c>
    </row>
    <row r="41" spans="1:2" x14ac:dyDescent="0.25">
      <c r="A41" s="11" t="s">
        <v>47</v>
      </c>
      <c r="B41" s="26">
        <v>3000000</v>
      </c>
    </row>
    <row r="42" spans="1:2" x14ac:dyDescent="0.25">
      <c r="A42" s="11" t="s">
        <v>46</v>
      </c>
      <c r="B42" s="26">
        <v>2000000</v>
      </c>
    </row>
    <row r="43" spans="1:2" x14ac:dyDescent="0.25">
      <c r="A43" s="11" t="s">
        <v>111</v>
      </c>
      <c r="B43" s="26">
        <v>3500000</v>
      </c>
    </row>
    <row r="44" spans="1:2" x14ac:dyDescent="0.25">
      <c r="A44" s="11" t="s">
        <v>61</v>
      </c>
      <c r="B44" s="26">
        <v>14000000</v>
      </c>
    </row>
    <row r="45" spans="1:2" x14ac:dyDescent="0.25">
      <c r="A45" s="11" t="s">
        <v>124</v>
      </c>
      <c r="B45" s="26">
        <v>5000000</v>
      </c>
    </row>
    <row r="46" spans="1:2" x14ac:dyDescent="0.25">
      <c r="A46" s="11" t="s">
        <v>110</v>
      </c>
      <c r="B46" s="26">
        <v>3500000</v>
      </c>
    </row>
    <row r="47" spans="1:2" x14ac:dyDescent="0.25">
      <c r="A47" s="11" t="s">
        <v>131</v>
      </c>
      <c r="B47" s="26">
        <v>5000000</v>
      </c>
    </row>
    <row r="48" spans="1:2" x14ac:dyDescent="0.25">
      <c r="A48" s="11" t="s">
        <v>133</v>
      </c>
      <c r="B48" s="26">
        <v>5000000</v>
      </c>
    </row>
    <row r="49" spans="1:2" x14ac:dyDescent="0.25">
      <c r="A49" s="11" t="s">
        <v>121</v>
      </c>
      <c r="B49" s="26">
        <v>2000000</v>
      </c>
    </row>
    <row r="50" spans="1:2" x14ac:dyDescent="0.25">
      <c r="A50" s="11" t="s">
        <v>166</v>
      </c>
      <c r="B50" s="26">
        <v>8000000</v>
      </c>
    </row>
    <row r="51" spans="1:2" x14ac:dyDescent="0.25">
      <c r="A51" s="11" t="s">
        <v>71</v>
      </c>
      <c r="B51" s="26">
        <v>5000000</v>
      </c>
    </row>
    <row r="52" spans="1:2" x14ac:dyDescent="0.25">
      <c r="A52" s="11" t="s">
        <v>155</v>
      </c>
      <c r="B52" s="26">
        <v>5000000</v>
      </c>
    </row>
    <row r="53" spans="1:2" x14ac:dyDescent="0.25">
      <c r="A53" s="11" t="s">
        <v>107</v>
      </c>
      <c r="B53" s="26">
        <v>3000000</v>
      </c>
    </row>
    <row r="54" spans="1:2" x14ac:dyDescent="0.25">
      <c r="A54" s="11" t="s">
        <v>185</v>
      </c>
      <c r="B54" s="26">
        <v>5000000</v>
      </c>
    </row>
    <row r="55" spans="1:2" x14ac:dyDescent="0.25">
      <c r="A55" s="11" t="s">
        <v>182</v>
      </c>
      <c r="B55" s="26">
        <v>10000000</v>
      </c>
    </row>
    <row r="56" spans="1:2" x14ac:dyDescent="0.25">
      <c r="A56" s="11" t="s">
        <v>106</v>
      </c>
      <c r="B56" s="26">
        <v>4000000</v>
      </c>
    </row>
    <row r="57" spans="1:2" x14ac:dyDescent="0.25">
      <c r="A57" s="11" t="s">
        <v>94</v>
      </c>
      <c r="B57" s="26">
        <v>2000000</v>
      </c>
    </row>
    <row r="58" spans="1:2" x14ac:dyDescent="0.25">
      <c r="A58" s="11" t="s">
        <v>114</v>
      </c>
      <c r="B58" s="26">
        <v>5000000</v>
      </c>
    </row>
    <row r="59" spans="1:2" x14ac:dyDescent="0.25">
      <c r="A59" s="11" t="s">
        <v>192</v>
      </c>
      <c r="B59" s="26">
        <v>3500000</v>
      </c>
    </row>
    <row r="60" spans="1:2" x14ac:dyDescent="0.25">
      <c r="A60" s="11" t="s">
        <v>23</v>
      </c>
      <c r="B60" s="26">
        <v>100000000</v>
      </c>
    </row>
    <row r="61" spans="1:2" x14ac:dyDescent="0.25">
      <c r="A61" s="11" t="s">
        <v>67</v>
      </c>
      <c r="B61" s="26">
        <v>100000</v>
      </c>
    </row>
    <row r="62" spans="1:2" x14ac:dyDescent="0.25">
      <c r="A62" s="11" t="s">
        <v>68</v>
      </c>
      <c r="B62" s="26">
        <v>10000000</v>
      </c>
    </row>
    <row r="63" spans="1:2" x14ac:dyDescent="0.25">
      <c r="A63" s="11" t="s">
        <v>148</v>
      </c>
      <c r="B63" s="26">
        <v>30000000</v>
      </c>
    </row>
    <row r="64" spans="1:2" x14ac:dyDescent="0.25">
      <c r="A64" s="11" t="s">
        <v>176</v>
      </c>
      <c r="B64" s="26">
        <v>4000000</v>
      </c>
    </row>
    <row r="65" spans="1:2" x14ac:dyDescent="0.25">
      <c r="A65" s="11" t="s">
        <v>116</v>
      </c>
      <c r="B65" s="26">
        <v>2000000</v>
      </c>
    </row>
    <row r="66" spans="1:2" x14ac:dyDescent="0.25">
      <c r="A66" s="11" t="s">
        <v>72</v>
      </c>
      <c r="B66" s="26">
        <v>5000000</v>
      </c>
    </row>
    <row r="67" spans="1:2" x14ac:dyDescent="0.25">
      <c r="A67" s="11" t="s">
        <v>157</v>
      </c>
      <c r="B67" s="26">
        <v>10000000</v>
      </c>
    </row>
    <row r="68" spans="1:2" x14ac:dyDescent="0.25">
      <c r="A68" s="11" t="s">
        <v>78</v>
      </c>
      <c r="B68" s="26">
        <v>10000000</v>
      </c>
    </row>
    <row r="69" spans="1:2" x14ac:dyDescent="0.25">
      <c r="A69" s="11" t="s">
        <v>22</v>
      </c>
      <c r="B69" s="26">
        <v>20000000</v>
      </c>
    </row>
    <row r="70" spans="1:2" x14ac:dyDescent="0.25">
      <c r="A70" s="11" t="s">
        <v>174</v>
      </c>
      <c r="B70" s="26">
        <v>2000000</v>
      </c>
    </row>
    <row r="71" spans="1:2" x14ac:dyDescent="0.25">
      <c r="A71" s="11" t="s">
        <v>69</v>
      </c>
      <c r="B71" s="26">
        <v>5000000</v>
      </c>
    </row>
    <row r="72" spans="1:2" x14ac:dyDescent="0.25">
      <c r="A72" s="11" t="s">
        <v>120</v>
      </c>
      <c r="B72" s="26">
        <v>5000000</v>
      </c>
    </row>
    <row r="73" spans="1:2" x14ac:dyDescent="0.25">
      <c r="A73" s="11" t="s">
        <v>127</v>
      </c>
      <c r="B73" s="26">
        <v>5000000</v>
      </c>
    </row>
    <row r="74" spans="1:2" x14ac:dyDescent="0.25">
      <c r="A74" s="11" t="s">
        <v>98</v>
      </c>
      <c r="B74" s="26">
        <v>3500000</v>
      </c>
    </row>
    <row r="75" spans="1:2" x14ac:dyDescent="0.25">
      <c r="A75" s="11" t="s">
        <v>55</v>
      </c>
      <c r="B75" s="26">
        <v>5000000</v>
      </c>
    </row>
    <row r="76" spans="1:2" x14ac:dyDescent="0.25">
      <c r="A76" s="11" t="s">
        <v>122</v>
      </c>
      <c r="B76" s="26">
        <v>5000000</v>
      </c>
    </row>
    <row r="77" spans="1:2" x14ac:dyDescent="0.25">
      <c r="A77" s="11" t="s">
        <v>115</v>
      </c>
      <c r="B77" s="26">
        <v>2000000</v>
      </c>
    </row>
    <row r="78" spans="1:2" x14ac:dyDescent="0.25">
      <c r="A78" s="11" t="s">
        <v>86</v>
      </c>
      <c r="B78" s="26">
        <v>4000000</v>
      </c>
    </row>
    <row r="79" spans="1:2" x14ac:dyDescent="0.25">
      <c r="A79" s="11" t="s">
        <v>102</v>
      </c>
      <c r="B79" s="26">
        <v>4000000</v>
      </c>
    </row>
    <row r="80" spans="1:2" x14ac:dyDescent="0.25">
      <c r="A80" s="11" t="s">
        <v>64</v>
      </c>
      <c r="B80" s="26">
        <v>3500000</v>
      </c>
    </row>
    <row r="81" spans="1:2" x14ac:dyDescent="0.25">
      <c r="A81" s="11" t="s">
        <v>151</v>
      </c>
      <c r="B81" s="26">
        <v>50000000</v>
      </c>
    </row>
    <row r="82" spans="1:2" x14ac:dyDescent="0.25">
      <c r="A82" s="11" t="s">
        <v>139</v>
      </c>
      <c r="B82" s="26">
        <v>10000000</v>
      </c>
    </row>
    <row r="83" spans="1:2" x14ac:dyDescent="0.25">
      <c r="A83" s="11" t="s">
        <v>135</v>
      </c>
      <c r="B83" s="26">
        <v>10000000</v>
      </c>
    </row>
    <row r="84" spans="1:2" x14ac:dyDescent="0.25">
      <c r="A84" s="11" t="s">
        <v>150</v>
      </c>
      <c r="B84" s="26">
        <v>50000000</v>
      </c>
    </row>
    <row r="85" spans="1:2" x14ac:dyDescent="0.25">
      <c r="A85" s="11" t="s">
        <v>125</v>
      </c>
      <c r="B85" s="26">
        <v>3000000</v>
      </c>
    </row>
    <row r="86" spans="1:2" x14ac:dyDescent="0.25">
      <c r="A86" s="11" t="s">
        <v>96</v>
      </c>
      <c r="B86" s="26">
        <v>5000000</v>
      </c>
    </row>
    <row r="87" spans="1:2" x14ac:dyDescent="0.25">
      <c r="A87" s="11" t="s">
        <v>92</v>
      </c>
      <c r="B87" s="26">
        <v>2000000</v>
      </c>
    </row>
    <row r="88" spans="1:2" x14ac:dyDescent="0.25">
      <c r="A88" s="11" t="s">
        <v>81</v>
      </c>
      <c r="B88" s="26">
        <v>1000000</v>
      </c>
    </row>
    <row r="89" spans="1:2" x14ac:dyDescent="0.25">
      <c r="A89" s="11" t="s">
        <v>175</v>
      </c>
      <c r="B89" s="26">
        <v>5000000</v>
      </c>
    </row>
    <row r="90" spans="1:2" x14ac:dyDescent="0.25">
      <c r="A90" s="11" t="s">
        <v>123</v>
      </c>
      <c r="B90" s="26">
        <v>5000000</v>
      </c>
    </row>
    <row r="91" spans="1:2" x14ac:dyDescent="0.25">
      <c r="A91" s="11" t="s">
        <v>112</v>
      </c>
      <c r="B91" s="26">
        <v>5000000</v>
      </c>
    </row>
    <row r="92" spans="1:2" x14ac:dyDescent="0.25">
      <c r="A92" s="11" t="s">
        <v>90</v>
      </c>
      <c r="B92" s="26">
        <v>10000000</v>
      </c>
    </row>
    <row r="93" spans="1:2" x14ac:dyDescent="0.25">
      <c r="A93" s="11" t="s">
        <v>190</v>
      </c>
      <c r="B93" s="26">
        <v>2000000</v>
      </c>
    </row>
    <row r="94" spans="1:2" x14ac:dyDescent="0.25">
      <c r="A94" s="11" t="s">
        <v>108</v>
      </c>
      <c r="B94" s="26">
        <v>2000000</v>
      </c>
    </row>
    <row r="95" spans="1:2" x14ac:dyDescent="0.25">
      <c r="A95" s="11" t="s">
        <v>130</v>
      </c>
      <c r="B95" s="26">
        <v>20000000</v>
      </c>
    </row>
    <row r="96" spans="1:2" x14ac:dyDescent="0.25">
      <c r="A96" s="11" t="s">
        <v>85</v>
      </c>
      <c r="B96" s="26">
        <v>3500000</v>
      </c>
    </row>
    <row r="97" spans="1:2" x14ac:dyDescent="0.25">
      <c r="A97" s="11" t="s">
        <v>74</v>
      </c>
      <c r="B97" s="26">
        <v>2000000</v>
      </c>
    </row>
    <row r="98" spans="1:2" x14ac:dyDescent="0.25">
      <c r="A98" s="11" t="s">
        <v>154</v>
      </c>
      <c r="B98" s="26">
        <v>30000000</v>
      </c>
    </row>
    <row r="99" spans="1:2" x14ac:dyDescent="0.25">
      <c r="A99" s="11" t="s">
        <v>126</v>
      </c>
      <c r="B99" s="26">
        <v>5000000</v>
      </c>
    </row>
    <row r="100" spans="1:2" x14ac:dyDescent="0.25">
      <c r="A100" s="11" t="s">
        <v>164</v>
      </c>
      <c r="B100" s="26">
        <v>10000000</v>
      </c>
    </row>
    <row r="101" spans="1:2" x14ac:dyDescent="0.25">
      <c r="A101" s="11" t="s">
        <v>189</v>
      </c>
      <c r="B101" s="26">
        <v>10000000</v>
      </c>
    </row>
    <row r="102" spans="1:2" x14ac:dyDescent="0.25">
      <c r="A102" s="11" t="s">
        <v>144</v>
      </c>
      <c r="B102" s="26">
        <v>10000000</v>
      </c>
    </row>
    <row r="103" spans="1:2" x14ac:dyDescent="0.25">
      <c r="A103" s="11" t="s">
        <v>100</v>
      </c>
      <c r="B103" s="26">
        <v>20000000</v>
      </c>
    </row>
    <row r="104" spans="1:2" x14ac:dyDescent="0.25">
      <c r="A104" s="11" t="s">
        <v>165</v>
      </c>
      <c r="B104" s="26">
        <v>50000000</v>
      </c>
    </row>
    <row r="105" spans="1:2" x14ac:dyDescent="0.25">
      <c r="A105" s="11" t="s">
        <v>24</v>
      </c>
      <c r="B105" s="26">
        <v>20000000</v>
      </c>
    </row>
    <row r="106" spans="1:2" x14ac:dyDescent="0.25">
      <c r="A106" s="11" t="s">
        <v>194</v>
      </c>
      <c r="B106" s="26">
        <v>10000000</v>
      </c>
    </row>
    <row r="107" spans="1:2" x14ac:dyDescent="0.25">
      <c r="A107" s="11" t="s">
        <v>187</v>
      </c>
      <c r="B107" s="26">
        <v>20000000</v>
      </c>
    </row>
    <row r="108" spans="1:2" x14ac:dyDescent="0.25">
      <c r="A108" s="11" t="s">
        <v>53</v>
      </c>
      <c r="B108" s="26">
        <v>3500000</v>
      </c>
    </row>
    <row r="109" spans="1:2" x14ac:dyDescent="0.25">
      <c r="A109" s="11" t="s">
        <v>51</v>
      </c>
      <c r="B109" s="26">
        <v>3500000</v>
      </c>
    </row>
    <row r="110" spans="1:2" x14ac:dyDescent="0.25">
      <c r="A110" s="11" t="s">
        <v>84</v>
      </c>
      <c r="B110" s="26">
        <v>10000000</v>
      </c>
    </row>
    <row r="111" spans="1:2" x14ac:dyDescent="0.25">
      <c r="A111" s="11" t="s">
        <v>109</v>
      </c>
      <c r="B111" s="26">
        <v>10000000</v>
      </c>
    </row>
    <row r="112" spans="1:2" x14ac:dyDescent="0.25">
      <c r="A112" s="11" t="s">
        <v>63</v>
      </c>
      <c r="B112" s="26">
        <v>10000000</v>
      </c>
    </row>
    <row r="113" spans="1:2" x14ac:dyDescent="0.25">
      <c r="A113" s="11" t="s">
        <v>146</v>
      </c>
      <c r="B113" s="26">
        <v>5000000</v>
      </c>
    </row>
    <row r="114" spans="1:2" x14ac:dyDescent="0.25">
      <c r="A114" s="11" t="s">
        <v>73</v>
      </c>
      <c r="B114" s="26">
        <v>10000000</v>
      </c>
    </row>
    <row r="115" spans="1:2" x14ac:dyDescent="0.25">
      <c r="A115" s="11" t="s">
        <v>79</v>
      </c>
      <c r="B115" s="26">
        <v>10000000</v>
      </c>
    </row>
    <row r="116" spans="1:2" x14ac:dyDescent="0.25">
      <c r="A116" s="11" t="s">
        <v>128</v>
      </c>
      <c r="B116" s="26">
        <v>2000000</v>
      </c>
    </row>
    <row r="117" spans="1:2" x14ac:dyDescent="0.25">
      <c r="A117" s="11" t="s">
        <v>156</v>
      </c>
      <c r="B117" s="26">
        <v>40000000</v>
      </c>
    </row>
    <row r="118" spans="1:2" x14ac:dyDescent="0.25">
      <c r="A118" s="11" t="s">
        <v>161</v>
      </c>
      <c r="B118" s="26">
        <v>10000000</v>
      </c>
    </row>
    <row r="119" spans="1:2" x14ac:dyDescent="0.25">
      <c r="A119" s="11" t="s">
        <v>58</v>
      </c>
      <c r="B119" s="26">
        <v>2000000</v>
      </c>
    </row>
    <row r="120" spans="1:2" x14ac:dyDescent="0.25">
      <c r="A120" s="11" t="s">
        <v>153</v>
      </c>
      <c r="B120" s="26">
        <v>10000000</v>
      </c>
    </row>
    <row r="121" spans="1:2" x14ac:dyDescent="0.25">
      <c r="A121" s="11" t="s">
        <v>160</v>
      </c>
      <c r="B121" s="26">
        <v>10000000</v>
      </c>
    </row>
    <row r="122" spans="1:2" x14ac:dyDescent="0.25">
      <c r="A122" s="11" t="s">
        <v>173</v>
      </c>
      <c r="B122" s="26">
        <v>2000000</v>
      </c>
    </row>
    <row r="123" spans="1:2" x14ac:dyDescent="0.25">
      <c r="A123" s="11" t="s">
        <v>89</v>
      </c>
      <c r="B123" s="26">
        <v>5000000</v>
      </c>
    </row>
    <row r="124" spans="1:2" x14ac:dyDescent="0.25">
      <c r="A124" s="11" t="s">
        <v>87</v>
      </c>
      <c r="B124" s="26">
        <v>10000000</v>
      </c>
    </row>
    <row r="125" spans="1:2" x14ac:dyDescent="0.25">
      <c r="A125" s="11" t="s">
        <v>201</v>
      </c>
      <c r="B125" s="26">
        <v>1207100000</v>
      </c>
    </row>
  </sheetData>
  <mergeCells count="1">
    <mergeCell ref="A2:B2"/>
  </mergeCell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7945B-B1E8-4AF9-9227-A1F166B9846B}">
  <dimension ref="A3:B15"/>
  <sheetViews>
    <sheetView workbookViewId="0">
      <selection activeCell="B6" sqref="B6"/>
    </sheetView>
  </sheetViews>
  <sheetFormatPr defaultRowHeight="12" x14ac:dyDescent="0.25"/>
  <cols>
    <col min="1" max="1" width="26.28515625" bestFit="1" customWidth="1"/>
    <col min="2" max="2" width="28.7109375" bestFit="1" customWidth="1"/>
  </cols>
  <sheetData>
    <row r="3" spans="1:2" x14ac:dyDescent="0.25">
      <c r="A3" s="46" t="s">
        <v>211</v>
      </c>
      <c r="B3" s="46"/>
    </row>
    <row r="5" spans="1:2" x14ac:dyDescent="0.25">
      <c r="A5" s="25" t="s">
        <v>200</v>
      </c>
      <c r="B5" t="s">
        <v>203</v>
      </c>
    </row>
    <row r="6" spans="1:2" x14ac:dyDescent="0.25">
      <c r="A6" s="11" t="s">
        <v>12</v>
      </c>
      <c r="B6" s="26">
        <v>11.25</v>
      </c>
    </row>
    <row r="7" spans="1:2" x14ac:dyDescent="0.25">
      <c r="A7" s="11" t="s">
        <v>16</v>
      </c>
      <c r="B7" s="26">
        <v>83.571428571428569</v>
      </c>
    </row>
    <row r="8" spans="1:2" x14ac:dyDescent="0.25">
      <c r="A8" s="11" t="s">
        <v>25</v>
      </c>
      <c r="B8" s="26">
        <v>22.352941176470587</v>
      </c>
    </row>
    <row r="9" spans="1:2" x14ac:dyDescent="0.25">
      <c r="A9" s="11" t="s">
        <v>43</v>
      </c>
      <c r="B9" s="26">
        <v>2035</v>
      </c>
    </row>
    <row r="10" spans="1:2" x14ac:dyDescent="0.25">
      <c r="A10" s="11" t="s">
        <v>13</v>
      </c>
      <c r="B10" s="26">
        <v>5</v>
      </c>
    </row>
    <row r="11" spans="1:2" x14ac:dyDescent="0.25">
      <c r="A11" s="11" t="s">
        <v>18</v>
      </c>
      <c r="B11" s="26">
        <v>14</v>
      </c>
    </row>
    <row r="12" spans="1:2" x14ac:dyDescent="0.25">
      <c r="A12" s="11" t="s">
        <v>14</v>
      </c>
      <c r="B12" s="26">
        <v>13.888888888888889</v>
      </c>
    </row>
    <row r="13" spans="1:2" x14ac:dyDescent="0.25">
      <c r="A13" s="11" t="s">
        <v>15</v>
      </c>
      <c r="B13" s="26">
        <v>20</v>
      </c>
    </row>
    <row r="14" spans="1:2" x14ac:dyDescent="0.25">
      <c r="A14" s="11" t="s">
        <v>17</v>
      </c>
      <c r="B14" s="26">
        <v>30</v>
      </c>
    </row>
    <row r="15" spans="1:2" x14ac:dyDescent="0.25">
      <c r="A15" s="11" t="s">
        <v>201</v>
      </c>
      <c r="B15" s="26">
        <v>466.31355932203388</v>
      </c>
    </row>
  </sheetData>
  <mergeCells count="1">
    <mergeCell ref="A3:B3"/>
  </mergeCell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94745-8198-4425-8BF8-24D78562884B}">
  <dimension ref="A3:C37"/>
  <sheetViews>
    <sheetView topLeftCell="A15" workbookViewId="0">
      <selection activeCell="A3" sqref="A3:C3"/>
    </sheetView>
  </sheetViews>
  <sheetFormatPr defaultRowHeight="12" x14ac:dyDescent="0.25"/>
  <cols>
    <col min="1" max="1" width="17.28515625" bestFit="1" customWidth="1"/>
    <col min="2" max="2" width="29.140625" bestFit="1" customWidth="1"/>
    <col min="3" max="3" width="36.42578125" bestFit="1" customWidth="1"/>
  </cols>
  <sheetData>
    <row r="3" spans="1:3" x14ac:dyDescent="0.25">
      <c r="A3" s="46" t="s">
        <v>212</v>
      </c>
      <c r="B3" s="46"/>
      <c r="C3" s="46"/>
    </row>
    <row r="5" spans="1:3" x14ac:dyDescent="0.25">
      <c r="A5" s="25" t="s">
        <v>200</v>
      </c>
      <c r="B5" t="s">
        <v>204</v>
      </c>
      <c r="C5" t="s">
        <v>205</v>
      </c>
    </row>
    <row r="6" spans="1:3" x14ac:dyDescent="0.25">
      <c r="A6" s="11" t="s">
        <v>66</v>
      </c>
      <c r="B6" s="26">
        <v>1500</v>
      </c>
      <c r="C6" s="26">
        <v>3500000</v>
      </c>
    </row>
    <row r="7" spans="1:3" x14ac:dyDescent="0.25">
      <c r="A7" s="11" t="s">
        <v>93</v>
      </c>
      <c r="B7" s="26">
        <v>50000</v>
      </c>
      <c r="C7" s="26">
        <v>6590909.0909090908</v>
      </c>
    </row>
    <row r="8" spans="1:3" x14ac:dyDescent="0.25">
      <c r="A8" s="11" t="s">
        <v>59</v>
      </c>
      <c r="B8" s="26">
        <v>13500</v>
      </c>
      <c r="C8" s="26">
        <v>4000000</v>
      </c>
    </row>
    <row r="9" spans="1:3" x14ac:dyDescent="0.25">
      <c r="A9" s="11" t="s">
        <v>12</v>
      </c>
      <c r="B9" s="26">
        <v>17500</v>
      </c>
      <c r="C9" s="26">
        <v>6666666.666666667</v>
      </c>
    </row>
    <row r="10" spans="1:3" x14ac:dyDescent="0.25">
      <c r="A10" s="11" t="s">
        <v>56</v>
      </c>
      <c r="B10" s="26">
        <v>9000</v>
      </c>
      <c r="C10" s="26">
        <v>5000000</v>
      </c>
    </row>
    <row r="11" spans="1:3" x14ac:dyDescent="0.25">
      <c r="A11" s="11" t="s">
        <v>178</v>
      </c>
      <c r="B11" s="26">
        <v>12000</v>
      </c>
      <c r="C11" s="26">
        <v>3500000</v>
      </c>
    </row>
    <row r="12" spans="1:3" x14ac:dyDescent="0.25">
      <c r="A12" s="11" t="s">
        <v>180</v>
      </c>
      <c r="B12" s="26">
        <v>4000</v>
      </c>
      <c r="C12" s="26">
        <v>3500000</v>
      </c>
    </row>
    <row r="13" spans="1:3" x14ac:dyDescent="0.25">
      <c r="A13" s="11" t="s">
        <v>16</v>
      </c>
      <c r="B13" s="26">
        <v>32000</v>
      </c>
      <c r="C13" s="26">
        <v>27500000</v>
      </c>
    </row>
    <row r="14" spans="1:3" x14ac:dyDescent="0.25">
      <c r="A14" s="11" t="s">
        <v>170</v>
      </c>
      <c r="B14" s="26">
        <v>25000</v>
      </c>
      <c r="C14" s="26">
        <v>12000000</v>
      </c>
    </row>
    <row r="15" spans="1:3" x14ac:dyDescent="0.25">
      <c r="A15" s="11" t="s">
        <v>167</v>
      </c>
      <c r="B15" s="26">
        <v>50000</v>
      </c>
      <c r="C15" s="26">
        <v>29000000</v>
      </c>
    </row>
    <row r="16" spans="1:3" x14ac:dyDescent="0.25">
      <c r="A16" s="11" t="s">
        <v>43</v>
      </c>
      <c r="B16" s="26">
        <v>385500</v>
      </c>
      <c r="C16" s="26">
        <v>16105263.157894736</v>
      </c>
    </row>
    <row r="17" spans="1:3" x14ac:dyDescent="0.25">
      <c r="A17" s="11" t="s">
        <v>184</v>
      </c>
      <c r="B17" s="26">
        <v>12000</v>
      </c>
      <c r="C17" s="26">
        <v>10000000</v>
      </c>
    </row>
    <row r="18" spans="1:3" x14ac:dyDescent="0.25">
      <c r="A18" s="11" t="s">
        <v>77</v>
      </c>
      <c r="B18" s="26">
        <v>13000</v>
      </c>
      <c r="C18" s="26">
        <v>4000000</v>
      </c>
    </row>
    <row r="19" spans="1:3" x14ac:dyDescent="0.25">
      <c r="A19" s="11" t="s">
        <v>48</v>
      </c>
      <c r="B19" s="26">
        <v>8000</v>
      </c>
      <c r="C19" s="26">
        <v>3000000</v>
      </c>
    </row>
    <row r="20" spans="1:3" x14ac:dyDescent="0.25">
      <c r="A20" s="11" t="s">
        <v>193</v>
      </c>
      <c r="B20" s="26">
        <v>2000</v>
      </c>
      <c r="C20" s="26">
        <v>3500000</v>
      </c>
    </row>
    <row r="21" spans="1:3" x14ac:dyDescent="0.25">
      <c r="A21" s="11" t="s">
        <v>119</v>
      </c>
      <c r="B21" s="26">
        <v>30000</v>
      </c>
      <c r="C21" s="26">
        <v>4200000</v>
      </c>
    </row>
    <row r="22" spans="1:3" x14ac:dyDescent="0.25">
      <c r="A22" s="11" t="s">
        <v>13</v>
      </c>
      <c r="B22" s="26">
        <v>20000</v>
      </c>
      <c r="C22" s="26">
        <v>10000000</v>
      </c>
    </row>
    <row r="23" spans="1:3" x14ac:dyDescent="0.25">
      <c r="A23" s="11" t="s">
        <v>191</v>
      </c>
      <c r="B23" s="26">
        <v>5000</v>
      </c>
      <c r="C23" s="26">
        <v>2000000</v>
      </c>
    </row>
    <row r="24" spans="1:3" x14ac:dyDescent="0.25">
      <c r="A24" s="11" t="s">
        <v>186</v>
      </c>
      <c r="B24" s="26">
        <v>12000</v>
      </c>
      <c r="C24" s="26">
        <v>20000000</v>
      </c>
    </row>
    <row r="25" spans="1:3" x14ac:dyDescent="0.25">
      <c r="A25" s="11" t="s">
        <v>18</v>
      </c>
      <c r="B25" s="26">
        <v>29000</v>
      </c>
      <c r="C25" s="26">
        <v>5900000</v>
      </c>
    </row>
    <row r="26" spans="1:3" x14ac:dyDescent="0.25">
      <c r="A26" s="11" t="s">
        <v>179</v>
      </c>
      <c r="B26" s="26">
        <v>4000</v>
      </c>
      <c r="C26" s="26">
        <v>4000000</v>
      </c>
    </row>
    <row r="27" spans="1:3" x14ac:dyDescent="0.25">
      <c r="A27" s="11" t="s">
        <v>147</v>
      </c>
      <c r="B27" s="26">
        <v>40000</v>
      </c>
      <c r="C27" s="26">
        <v>10000000</v>
      </c>
    </row>
    <row r="28" spans="1:3" x14ac:dyDescent="0.25">
      <c r="A28" s="11" t="s">
        <v>62</v>
      </c>
      <c r="B28" s="26">
        <v>8000</v>
      </c>
      <c r="C28" s="26">
        <v>5833333.333333333</v>
      </c>
    </row>
    <row r="29" spans="1:3" x14ac:dyDescent="0.25">
      <c r="A29" s="11" t="s">
        <v>57</v>
      </c>
      <c r="B29" s="26">
        <v>3014</v>
      </c>
      <c r="C29" s="26">
        <v>7500000</v>
      </c>
    </row>
    <row r="30" spans="1:3" x14ac:dyDescent="0.25">
      <c r="A30" s="11" t="s">
        <v>44</v>
      </c>
      <c r="B30" s="26">
        <v>46500</v>
      </c>
      <c r="C30" s="26">
        <v>36700000</v>
      </c>
    </row>
    <row r="31" spans="1:3" x14ac:dyDescent="0.25">
      <c r="A31" s="11" t="s">
        <v>14</v>
      </c>
      <c r="B31" s="26">
        <v>40400</v>
      </c>
      <c r="C31" s="26">
        <v>8333333.333333333</v>
      </c>
    </row>
    <row r="32" spans="1:3" x14ac:dyDescent="0.25">
      <c r="A32" s="11" t="s">
        <v>105</v>
      </c>
      <c r="B32" s="26">
        <v>74000</v>
      </c>
      <c r="C32" s="26">
        <v>5035714.2857142854</v>
      </c>
    </row>
    <row r="33" spans="1:3" x14ac:dyDescent="0.25">
      <c r="A33" s="11" t="s">
        <v>158</v>
      </c>
      <c r="B33" s="26">
        <v>20000</v>
      </c>
      <c r="C33" s="26">
        <v>10000000</v>
      </c>
    </row>
    <row r="34" spans="1:3" x14ac:dyDescent="0.25">
      <c r="A34" s="11" t="s">
        <v>162</v>
      </c>
      <c r="B34" s="26">
        <v>10000</v>
      </c>
      <c r="C34" s="26">
        <v>10000000</v>
      </c>
    </row>
    <row r="35" spans="1:3" x14ac:dyDescent="0.25">
      <c r="A35" s="11" t="s">
        <v>17</v>
      </c>
      <c r="B35" s="26">
        <v>2037000</v>
      </c>
      <c r="C35" s="26">
        <v>16416666.666666666</v>
      </c>
    </row>
    <row r="36" spans="1:3" x14ac:dyDescent="0.25">
      <c r="A36" s="11" t="s">
        <v>183</v>
      </c>
      <c r="B36" s="26">
        <v>15000</v>
      </c>
      <c r="C36" s="26">
        <v>50000000</v>
      </c>
    </row>
    <row r="37" spans="1:3" x14ac:dyDescent="0.25">
      <c r="A37" s="11" t="s">
        <v>201</v>
      </c>
      <c r="B37" s="26">
        <v>3028914</v>
      </c>
      <c r="C37" s="26">
        <v>10059166.666666666</v>
      </c>
    </row>
  </sheetData>
  <mergeCells count="1">
    <mergeCell ref="A3:C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963BE-1F9C-4F01-84F7-0FFFE3321653}">
  <dimension ref="A3:C22"/>
  <sheetViews>
    <sheetView workbookViewId="0">
      <selection activeCell="B6" sqref="B6"/>
    </sheetView>
  </sheetViews>
  <sheetFormatPr defaultRowHeight="12" x14ac:dyDescent="0.25"/>
  <cols>
    <col min="1" max="1" width="31.140625" bestFit="1" customWidth="1"/>
    <col min="2" max="2" width="32.28515625" bestFit="1" customWidth="1"/>
  </cols>
  <sheetData>
    <row r="3" spans="1:3" x14ac:dyDescent="0.25">
      <c r="A3" s="46" t="s">
        <v>213</v>
      </c>
      <c r="B3" s="46"/>
      <c r="C3" s="32"/>
    </row>
    <row r="5" spans="1:3" x14ac:dyDescent="0.25">
      <c r="A5" s="25" t="s">
        <v>200</v>
      </c>
      <c r="B5" t="s">
        <v>206</v>
      </c>
    </row>
    <row r="6" spans="1:3" x14ac:dyDescent="0.25">
      <c r="A6" s="11" t="s">
        <v>12</v>
      </c>
      <c r="B6" s="26">
        <v>22</v>
      </c>
    </row>
    <row r="7" spans="1:3" x14ac:dyDescent="0.25">
      <c r="A7" s="27" t="s">
        <v>19</v>
      </c>
      <c r="B7" s="26">
        <v>22</v>
      </c>
    </row>
    <row r="8" spans="1:3" x14ac:dyDescent="0.25">
      <c r="A8" s="11" t="s">
        <v>16</v>
      </c>
      <c r="B8" s="26">
        <v>2</v>
      </c>
    </row>
    <row r="9" spans="1:3" x14ac:dyDescent="0.25">
      <c r="A9" s="27" t="s">
        <v>19</v>
      </c>
      <c r="B9" s="26">
        <v>2</v>
      </c>
    </row>
    <row r="10" spans="1:3" x14ac:dyDescent="0.25">
      <c r="A10" s="11" t="s">
        <v>25</v>
      </c>
      <c r="B10" s="26">
        <v>34</v>
      </c>
    </row>
    <row r="11" spans="1:3" x14ac:dyDescent="0.25">
      <c r="A11" s="27" t="s">
        <v>19</v>
      </c>
      <c r="B11" s="26">
        <v>34</v>
      </c>
    </row>
    <row r="12" spans="1:3" x14ac:dyDescent="0.25">
      <c r="A12" s="11" t="s">
        <v>43</v>
      </c>
      <c r="B12" s="26">
        <v>16</v>
      </c>
    </row>
    <row r="13" spans="1:3" x14ac:dyDescent="0.25">
      <c r="A13" s="27" t="s">
        <v>19</v>
      </c>
      <c r="B13" s="26">
        <v>16</v>
      </c>
    </row>
    <row r="14" spans="1:3" x14ac:dyDescent="0.25">
      <c r="A14" s="11" t="s">
        <v>13</v>
      </c>
      <c r="B14" s="26">
        <v>1</v>
      </c>
    </row>
    <row r="15" spans="1:3" x14ac:dyDescent="0.25">
      <c r="A15" s="27" t="s">
        <v>19</v>
      </c>
      <c r="B15" s="26">
        <v>1</v>
      </c>
    </row>
    <row r="16" spans="1:3" x14ac:dyDescent="0.25">
      <c r="A16" s="11" t="s">
        <v>18</v>
      </c>
      <c r="B16" s="26">
        <v>2</v>
      </c>
    </row>
    <row r="17" spans="1:2" x14ac:dyDescent="0.25">
      <c r="A17" s="27" t="s">
        <v>19</v>
      </c>
      <c r="B17" s="26">
        <v>2</v>
      </c>
    </row>
    <row r="18" spans="1:2" x14ac:dyDescent="0.25">
      <c r="A18" s="11" t="s">
        <v>14</v>
      </c>
      <c r="B18" s="26">
        <v>3</v>
      </c>
    </row>
    <row r="19" spans="1:2" x14ac:dyDescent="0.25">
      <c r="A19" s="27" t="s">
        <v>19</v>
      </c>
      <c r="B19" s="26">
        <v>3</v>
      </c>
    </row>
    <row r="20" spans="1:2" x14ac:dyDescent="0.25">
      <c r="A20" s="11" t="s">
        <v>17</v>
      </c>
      <c r="B20" s="26">
        <v>1</v>
      </c>
    </row>
    <row r="21" spans="1:2" x14ac:dyDescent="0.25">
      <c r="A21" s="27" t="s">
        <v>19</v>
      </c>
      <c r="B21" s="26">
        <v>1</v>
      </c>
    </row>
    <row r="22" spans="1:2" x14ac:dyDescent="0.25">
      <c r="A22" s="11" t="s">
        <v>201</v>
      </c>
      <c r="B22" s="26">
        <v>81</v>
      </c>
    </row>
  </sheetData>
  <mergeCells count="1">
    <mergeCell ref="A3:B3"/>
  </mergeCell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D11E7-3E1C-4E12-826C-D148D1B14778}">
  <dimension ref="A3:M125"/>
  <sheetViews>
    <sheetView zoomScale="56" workbookViewId="0">
      <selection activeCell="K104" sqref="K104"/>
    </sheetView>
  </sheetViews>
  <sheetFormatPr defaultRowHeight="12" x14ac:dyDescent="0.25"/>
  <cols>
    <col min="1" max="1" width="43.7109375" bestFit="1" customWidth="1"/>
    <col min="2" max="2" width="32.28515625" bestFit="1" customWidth="1"/>
    <col min="3" max="3" width="28.140625" bestFit="1" customWidth="1"/>
    <col min="4" max="4" width="21.85546875" bestFit="1" customWidth="1"/>
    <col min="6" max="6" width="11.5703125" customWidth="1"/>
    <col min="7" max="7" width="10.85546875" customWidth="1"/>
  </cols>
  <sheetData>
    <row r="3" spans="1:12" x14ac:dyDescent="0.25">
      <c r="G3" s="46" t="s">
        <v>214</v>
      </c>
      <c r="H3" s="46"/>
      <c r="I3" s="46"/>
      <c r="J3" s="46"/>
      <c r="K3" s="46"/>
      <c r="L3" s="46"/>
    </row>
    <row r="5" spans="1:12" x14ac:dyDescent="0.25">
      <c r="A5" s="25" t="s">
        <v>200</v>
      </c>
      <c r="B5" t="s">
        <v>202</v>
      </c>
      <c r="C5" t="s">
        <v>207</v>
      </c>
      <c r="D5" t="s">
        <v>237</v>
      </c>
    </row>
    <row r="6" spans="1:12" x14ac:dyDescent="0.25">
      <c r="A6" s="11" t="s">
        <v>142</v>
      </c>
      <c r="B6" s="26">
        <v>10000000</v>
      </c>
      <c r="C6" s="26">
        <v>5000000</v>
      </c>
      <c r="D6" s="4">
        <v>2</v>
      </c>
    </row>
    <row r="7" spans="1:12" x14ac:dyDescent="0.25">
      <c r="A7" s="11" t="s">
        <v>118</v>
      </c>
      <c r="B7" s="26">
        <v>5000000</v>
      </c>
      <c r="C7" s="26">
        <v>10000000</v>
      </c>
      <c r="D7" s="4">
        <v>0.5</v>
      </c>
    </row>
    <row r="8" spans="1:12" x14ac:dyDescent="0.25">
      <c r="A8" s="11" t="s">
        <v>104</v>
      </c>
      <c r="B8" s="26">
        <v>3500000</v>
      </c>
      <c r="C8" s="26">
        <v>2000000</v>
      </c>
      <c r="D8" s="4">
        <v>1.75</v>
      </c>
    </row>
    <row r="9" spans="1:12" x14ac:dyDescent="0.25">
      <c r="A9" s="11" t="s">
        <v>145</v>
      </c>
      <c r="B9" s="26">
        <v>2000000</v>
      </c>
      <c r="C9" s="26">
        <v>1800000</v>
      </c>
      <c r="D9" s="4">
        <v>1.1111111111111112</v>
      </c>
    </row>
    <row r="10" spans="1:12" x14ac:dyDescent="0.25">
      <c r="A10" s="11" t="s">
        <v>91</v>
      </c>
      <c r="B10" s="26">
        <v>3000000</v>
      </c>
      <c r="C10" s="26">
        <v>1000000</v>
      </c>
      <c r="D10" s="4">
        <v>3</v>
      </c>
    </row>
    <row r="11" spans="1:12" x14ac:dyDescent="0.25">
      <c r="A11" s="11" t="s">
        <v>141</v>
      </c>
      <c r="B11" s="26">
        <v>5000000</v>
      </c>
      <c r="C11" s="26">
        <v>2000000</v>
      </c>
      <c r="D11" s="4">
        <v>2.5</v>
      </c>
    </row>
    <row r="12" spans="1:12" x14ac:dyDescent="0.25">
      <c r="A12" s="11" t="s">
        <v>75</v>
      </c>
      <c r="B12" s="26">
        <v>2000000</v>
      </c>
      <c r="C12" s="26">
        <v>1000000</v>
      </c>
      <c r="D12" s="4">
        <v>2</v>
      </c>
    </row>
    <row r="13" spans="1:12" x14ac:dyDescent="0.25">
      <c r="A13" s="11" t="s">
        <v>140</v>
      </c>
      <c r="B13" s="26">
        <v>10000000</v>
      </c>
      <c r="C13" s="26">
        <v>5000000</v>
      </c>
      <c r="D13" s="4">
        <v>2</v>
      </c>
    </row>
    <row r="14" spans="1:12" x14ac:dyDescent="0.25">
      <c r="A14" s="11" t="s">
        <v>76</v>
      </c>
      <c r="B14" s="26">
        <v>2000000</v>
      </c>
      <c r="C14" s="26">
        <v>1600000</v>
      </c>
      <c r="D14" s="4">
        <v>1.25</v>
      </c>
    </row>
    <row r="15" spans="1:12" x14ac:dyDescent="0.25">
      <c r="A15" s="11" t="s">
        <v>83</v>
      </c>
      <c r="B15" s="26">
        <v>20000000</v>
      </c>
      <c r="C15" s="26">
        <v>10000000</v>
      </c>
      <c r="D15" s="4">
        <v>2</v>
      </c>
    </row>
    <row r="16" spans="1:12" x14ac:dyDescent="0.25">
      <c r="A16" s="11" t="s">
        <v>196</v>
      </c>
      <c r="B16" s="26">
        <v>2000000</v>
      </c>
      <c r="C16" s="26">
        <v>500000</v>
      </c>
      <c r="D16" s="4">
        <v>4</v>
      </c>
    </row>
    <row r="17" spans="1:10" x14ac:dyDescent="0.25">
      <c r="A17" s="11" t="s">
        <v>52</v>
      </c>
      <c r="B17" s="26">
        <v>20000000</v>
      </c>
      <c r="C17" s="26">
        <v>10000000</v>
      </c>
      <c r="D17" s="4">
        <v>2</v>
      </c>
    </row>
    <row r="18" spans="1:10" x14ac:dyDescent="0.25">
      <c r="A18" s="11" t="s">
        <v>80</v>
      </c>
      <c r="B18" s="26">
        <v>8000000</v>
      </c>
      <c r="C18" s="26">
        <v>5000000</v>
      </c>
      <c r="D18" s="4">
        <v>1.6</v>
      </c>
    </row>
    <row r="19" spans="1:10" x14ac:dyDescent="0.25">
      <c r="A19" s="11" t="s">
        <v>82</v>
      </c>
      <c r="B19" s="26">
        <v>5000000</v>
      </c>
      <c r="C19" s="26">
        <v>2000000</v>
      </c>
      <c r="D19" s="4">
        <v>2.5</v>
      </c>
    </row>
    <row r="20" spans="1:10" x14ac:dyDescent="0.25">
      <c r="A20" s="11" t="s">
        <v>60</v>
      </c>
      <c r="B20" s="26">
        <v>2000000</v>
      </c>
      <c r="C20" s="26">
        <v>1800000</v>
      </c>
      <c r="D20" s="4">
        <v>1.1111111111111112</v>
      </c>
    </row>
    <row r="21" spans="1:10" x14ac:dyDescent="0.25">
      <c r="A21" s="11" t="s">
        <v>54</v>
      </c>
      <c r="B21" s="26">
        <v>10000000</v>
      </c>
      <c r="C21" s="26">
        <v>5000000</v>
      </c>
      <c r="D21" s="4">
        <v>2</v>
      </c>
    </row>
    <row r="22" spans="1:10" x14ac:dyDescent="0.25">
      <c r="A22" s="11" t="s">
        <v>159</v>
      </c>
      <c r="B22" s="26">
        <v>3500000</v>
      </c>
      <c r="C22" s="26">
        <v>1500000</v>
      </c>
      <c r="D22" s="4">
        <v>2.3333333333333335</v>
      </c>
    </row>
    <row r="23" spans="1:10" x14ac:dyDescent="0.25">
      <c r="A23" s="11" t="s">
        <v>88</v>
      </c>
      <c r="B23" s="26">
        <v>2000000</v>
      </c>
      <c r="C23" s="26">
        <v>1000000</v>
      </c>
      <c r="D23" s="4">
        <v>2</v>
      </c>
    </row>
    <row r="24" spans="1:10" x14ac:dyDescent="0.25">
      <c r="A24" s="11" t="s">
        <v>70</v>
      </c>
      <c r="B24" s="26">
        <v>5000000</v>
      </c>
      <c r="C24" s="26">
        <v>2500000</v>
      </c>
      <c r="D24" s="4">
        <v>2</v>
      </c>
    </row>
    <row r="25" spans="1:10" x14ac:dyDescent="0.25">
      <c r="A25" s="11" t="s">
        <v>113</v>
      </c>
      <c r="B25" s="26">
        <v>3500000</v>
      </c>
      <c r="C25" s="26">
        <v>2000000</v>
      </c>
      <c r="D25" s="4">
        <v>1.75</v>
      </c>
      <c r="F25" t="s">
        <v>238</v>
      </c>
    </row>
    <row r="26" spans="1:10" x14ac:dyDescent="0.25">
      <c r="A26" s="11" t="s">
        <v>95</v>
      </c>
      <c r="B26" s="26">
        <v>20000000</v>
      </c>
      <c r="C26" s="26">
        <v>10000000</v>
      </c>
      <c r="D26" s="4">
        <v>2</v>
      </c>
    </row>
    <row r="27" spans="1:10" x14ac:dyDescent="0.25">
      <c r="A27" s="11" t="s">
        <v>103</v>
      </c>
      <c r="B27" s="26">
        <v>5000000</v>
      </c>
      <c r="C27" s="26">
        <v>4000000</v>
      </c>
      <c r="D27" s="4">
        <v>1.25</v>
      </c>
    </row>
    <row r="28" spans="1:10" x14ac:dyDescent="0.25">
      <c r="A28" s="11" t="s">
        <v>65</v>
      </c>
      <c r="B28" s="26">
        <v>3500000</v>
      </c>
      <c r="C28" s="26">
        <v>2000000</v>
      </c>
      <c r="D28" s="4">
        <v>1.75</v>
      </c>
      <c r="F28" s="47" t="s">
        <v>239</v>
      </c>
      <c r="G28" s="47"/>
      <c r="H28" s="47"/>
      <c r="I28" s="47"/>
      <c r="J28" s="47"/>
    </row>
    <row r="29" spans="1:10" x14ac:dyDescent="0.25">
      <c r="A29" s="11" t="s">
        <v>137</v>
      </c>
      <c r="B29" s="26">
        <v>20000000</v>
      </c>
      <c r="C29" s="26">
        <v>10000000</v>
      </c>
      <c r="D29" s="4">
        <v>2</v>
      </c>
    </row>
    <row r="30" spans="1:10" x14ac:dyDescent="0.25">
      <c r="A30" s="11" t="s">
        <v>168</v>
      </c>
      <c r="B30" s="26">
        <v>50000000</v>
      </c>
      <c r="C30" s="26">
        <v>30000000</v>
      </c>
      <c r="D30" s="4">
        <v>1.6666666666666667</v>
      </c>
      <c r="F30" s="39" t="s">
        <v>240</v>
      </c>
      <c r="G30">
        <f>CORREL(C6:C124,B6:B124)</f>
        <v>0.9577643525132169</v>
      </c>
    </row>
    <row r="31" spans="1:10" x14ac:dyDescent="0.25">
      <c r="A31" s="11" t="s">
        <v>97</v>
      </c>
      <c r="B31" s="26">
        <v>3500000</v>
      </c>
      <c r="C31" s="26">
        <v>2500000</v>
      </c>
      <c r="D31" s="4">
        <v>1.4</v>
      </c>
    </row>
    <row r="32" spans="1:10" x14ac:dyDescent="0.25">
      <c r="A32" s="11" t="s">
        <v>177</v>
      </c>
      <c r="B32" s="26">
        <v>3500000</v>
      </c>
      <c r="C32" s="26">
        <v>1000000</v>
      </c>
      <c r="D32" s="4">
        <v>3.5</v>
      </c>
    </row>
    <row r="33" spans="1:4" x14ac:dyDescent="0.25">
      <c r="A33" s="11" t="s">
        <v>169</v>
      </c>
      <c r="B33" s="26">
        <v>4000000</v>
      </c>
      <c r="C33" s="26">
        <v>2000000</v>
      </c>
      <c r="D33" s="4">
        <v>2</v>
      </c>
    </row>
    <row r="34" spans="1:4" x14ac:dyDescent="0.25">
      <c r="A34" s="11" t="s">
        <v>188</v>
      </c>
      <c r="B34" s="26">
        <v>50000000</v>
      </c>
      <c r="C34" s="26">
        <v>30000000</v>
      </c>
      <c r="D34" s="4">
        <v>1.6666666666666667</v>
      </c>
    </row>
    <row r="35" spans="1:4" x14ac:dyDescent="0.25">
      <c r="A35" s="11" t="s">
        <v>138</v>
      </c>
      <c r="B35" s="26">
        <v>50000000</v>
      </c>
      <c r="C35" s="26">
        <v>30000000</v>
      </c>
      <c r="D35" s="4">
        <v>1.6666666666666667</v>
      </c>
    </row>
    <row r="36" spans="1:4" x14ac:dyDescent="0.25">
      <c r="A36" s="11" t="s">
        <v>99</v>
      </c>
      <c r="B36" s="26">
        <v>4000000</v>
      </c>
      <c r="C36" s="26">
        <v>2500000</v>
      </c>
      <c r="D36" s="4">
        <v>1.6</v>
      </c>
    </row>
    <row r="37" spans="1:4" x14ac:dyDescent="0.25">
      <c r="A37" s="11" t="s">
        <v>143</v>
      </c>
      <c r="B37" s="26">
        <v>10000000</v>
      </c>
      <c r="C37" s="26">
        <v>5000000</v>
      </c>
      <c r="D37" s="4">
        <v>2</v>
      </c>
    </row>
    <row r="38" spans="1:4" x14ac:dyDescent="0.25">
      <c r="A38" s="11" t="s">
        <v>117</v>
      </c>
      <c r="B38" s="26">
        <v>2000000</v>
      </c>
      <c r="C38" s="26">
        <v>1000000</v>
      </c>
      <c r="D38" s="4">
        <v>2</v>
      </c>
    </row>
    <row r="39" spans="1:4" x14ac:dyDescent="0.25">
      <c r="A39" s="11" t="s">
        <v>50</v>
      </c>
      <c r="B39" s="26">
        <v>1000000</v>
      </c>
      <c r="C39" s="26">
        <v>50000</v>
      </c>
      <c r="D39" s="4">
        <v>20</v>
      </c>
    </row>
    <row r="40" spans="1:4" x14ac:dyDescent="0.25">
      <c r="A40" s="11" t="s">
        <v>171</v>
      </c>
      <c r="B40" s="26">
        <v>5000000</v>
      </c>
      <c r="C40" s="26">
        <v>1000000</v>
      </c>
      <c r="D40" s="4">
        <v>5</v>
      </c>
    </row>
    <row r="41" spans="1:4" x14ac:dyDescent="0.25">
      <c r="A41" s="11" t="s">
        <v>47</v>
      </c>
      <c r="B41" s="26">
        <v>3000000</v>
      </c>
      <c r="C41" s="26">
        <v>1000000</v>
      </c>
      <c r="D41" s="4">
        <v>3</v>
      </c>
    </row>
    <row r="42" spans="1:4" x14ac:dyDescent="0.25">
      <c r="A42" s="11" t="s">
        <v>46</v>
      </c>
      <c r="B42" s="26">
        <v>2000000</v>
      </c>
      <c r="C42" s="26">
        <v>1800000</v>
      </c>
      <c r="D42" s="4">
        <v>1.1111111111111112</v>
      </c>
    </row>
    <row r="43" spans="1:4" x14ac:dyDescent="0.25">
      <c r="A43" s="11" t="s">
        <v>111</v>
      </c>
      <c r="B43" s="26">
        <v>3500000</v>
      </c>
      <c r="C43" s="26">
        <v>2000000</v>
      </c>
      <c r="D43" s="4">
        <v>1.75</v>
      </c>
    </row>
    <row r="44" spans="1:4" x14ac:dyDescent="0.25">
      <c r="A44" s="11" t="s">
        <v>61</v>
      </c>
      <c r="B44" s="26">
        <v>14000000</v>
      </c>
      <c r="C44" s="26">
        <v>7000000</v>
      </c>
      <c r="D44" s="4">
        <v>2</v>
      </c>
    </row>
    <row r="45" spans="1:4" x14ac:dyDescent="0.25">
      <c r="A45" s="11" t="s">
        <v>124</v>
      </c>
      <c r="B45" s="26">
        <v>5000000</v>
      </c>
      <c r="C45" s="26">
        <v>2000000</v>
      </c>
      <c r="D45" s="4">
        <v>2.5</v>
      </c>
    </row>
    <row r="46" spans="1:4" x14ac:dyDescent="0.25">
      <c r="A46" s="11" t="s">
        <v>110</v>
      </c>
      <c r="B46" s="26">
        <v>3500000</v>
      </c>
      <c r="C46" s="26">
        <v>2000000</v>
      </c>
      <c r="D46" s="4">
        <v>1.75</v>
      </c>
    </row>
    <row r="47" spans="1:4" x14ac:dyDescent="0.25">
      <c r="A47" s="11" t="s">
        <v>131</v>
      </c>
      <c r="B47" s="26">
        <v>5000000</v>
      </c>
      <c r="C47" s="26">
        <v>2000000</v>
      </c>
      <c r="D47" s="4">
        <v>2.5</v>
      </c>
    </row>
    <row r="48" spans="1:4" x14ac:dyDescent="0.25">
      <c r="A48" s="11" t="s">
        <v>133</v>
      </c>
      <c r="B48" s="26">
        <v>5000000</v>
      </c>
      <c r="C48" s="26">
        <v>2000000</v>
      </c>
      <c r="D48" s="4">
        <v>2.5</v>
      </c>
    </row>
    <row r="49" spans="1:13" x14ac:dyDescent="0.25">
      <c r="A49" s="11" t="s">
        <v>121</v>
      </c>
      <c r="B49" s="26">
        <v>2000000</v>
      </c>
      <c r="C49" s="26">
        <v>2500000</v>
      </c>
      <c r="D49" s="4">
        <v>0.8</v>
      </c>
    </row>
    <row r="50" spans="1:13" x14ac:dyDescent="0.25">
      <c r="A50" s="11" t="s">
        <v>166</v>
      </c>
      <c r="B50" s="26">
        <v>8000000</v>
      </c>
      <c r="C50" s="26">
        <v>4000000</v>
      </c>
      <c r="D50" s="4">
        <v>2</v>
      </c>
    </row>
    <row r="51" spans="1:13" x14ac:dyDescent="0.25">
      <c r="A51" s="11" t="s">
        <v>71</v>
      </c>
      <c r="B51" s="26">
        <v>5000000</v>
      </c>
      <c r="C51" s="26">
        <v>3000000</v>
      </c>
      <c r="D51" s="4">
        <v>1.6666666666666667</v>
      </c>
    </row>
    <row r="52" spans="1:13" x14ac:dyDescent="0.25">
      <c r="A52" s="11" t="s">
        <v>155</v>
      </c>
      <c r="B52" s="26">
        <v>5000000</v>
      </c>
      <c r="C52" s="26">
        <v>2000000</v>
      </c>
      <c r="D52" s="4">
        <v>2.5</v>
      </c>
      <c r="F52" s="43"/>
    </row>
    <row r="53" spans="1:13" x14ac:dyDescent="0.25">
      <c r="A53" s="11" t="s">
        <v>107</v>
      </c>
      <c r="B53" s="26">
        <v>3000000</v>
      </c>
      <c r="C53" s="26">
        <v>1000000</v>
      </c>
      <c r="D53" s="4">
        <v>3</v>
      </c>
      <c r="F53" s="48" t="s">
        <v>243</v>
      </c>
      <c r="G53" s="48"/>
      <c r="H53" s="48"/>
      <c r="I53" s="48"/>
      <c r="J53" s="48"/>
      <c r="K53" s="48"/>
      <c r="L53" s="48"/>
      <c r="M53" s="48"/>
    </row>
    <row r="54" spans="1:13" x14ac:dyDescent="0.25">
      <c r="A54" s="11" t="s">
        <v>185</v>
      </c>
      <c r="B54" s="26">
        <v>5000000</v>
      </c>
      <c r="C54" s="26">
        <v>2000000</v>
      </c>
      <c r="D54" s="4">
        <v>2.5</v>
      </c>
      <c r="F54" s="49" t="s">
        <v>241</v>
      </c>
      <c r="G54" s="49"/>
      <c r="H54" s="49"/>
      <c r="I54" s="49"/>
    </row>
    <row r="55" spans="1:13" x14ac:dyDescent="0.25">
      <c r="A55" s="11" t="s">
        <v>182</v>
      </c>
      <c r="B55" s="26">
        <v>10000000</v>
      </c>
      <c r="C55" s="26">
        <v>5000000</v>
      </c>
      <c r="D55" s="4">
        <v>2</v>
      </c>
      <c r="F55" s="49" t="s">
        <v>242</v>
      </c>
      <c r="G55" s="49"/>
      <c r="H55" s="49"/>
      <c r="I55" s="49"/>
      <c r="J55" s="49"/>
      <c r="K55" s="49"/>
      <c r="L55" s="49"/>
    </row>
    <row r="56" spans="1:13" x14ac:dyDescent="0.25">
      <c r="A56" s="11" t="s">
        <v>106</v>
      </c>
      <c r="B56" s="26">
        <v>4000000</v>
      </c>
      <c r="C56" s="26">
        <v>2500000</v>
      </c>
      <c r="D56" s="4">
        <v>1.6</v>
      </c>
    </row>
    <row r="57" spans="1:13" x14ac:dyDescent="0.25">
      <c r="A57" s="11" t="s">
        <v>94</v>
      </c>
      <c r="B57" s="26">
        <v>2000000</v>
      </c>
      <c r="C57" s="26">
        <v>1800000</v>
      </c>
      <c r="D57" s="4">
        <v>1.1111111111111112</v>
      </c>
      <c r="F57" s="47" t="s">
        <v>247</v>
      </c>
      <c r="G57" s="47"/>
    </row>
    <row r="58" spans="1:13" x14ac:dyDescent="0.25">
      <c r="A58" s="11" t="s">
        <v>114</v>
      </c>
      <c r="B58" s="26">
        <v>5000000</v>
      </c>
      <c r="C58" s="26">
        <v>4000000</v>
      </c>
      <c r="D58" s="4">
        <v>1.25</v>
      </c>
      <c r="F58" t="s">
        <v>244</v>
      </c>
    </row>
    <row r="59" spans="1:13" x14ac:dyDescent="0.25">
      <c r="A59" s="11" t="s">
        <v>192</v>
      </c>
      <c r="B59" s="26">
        <v>3500000</v>
      </c>
      <c r="C59" s="26">
        <v>1200000</v>
      </c>
      <c r="D59" s="4">
        <v>2.9166666666666665</v>
      </c>
      <c r="F59" t="s">
        <v>245</v>
      </c>
    </row>
    <row r="60" spans="1:13" x14ac:dyDescent="0.25">
      <c r="A60" s="11" t="s">
        <v>23</v>
      </c>
      <c r="B60" s="26">
        <v>100000000</v>
      </c>
      <c r="C60" s="26">
        <v>50000000</v>
      </c>
      <c r="D60" s="4">
        <v>2</v>
      </c>
      <c r="F60" t="s">
        <v>246</v>
      </c>
    </row>
    <row r="61" spans="1:13" x14ac:dyDescent="0.25">
      <c r="A61" s="11" t="s">
        <v>67</v>
      </c>
      <c r="B61" s="26">
        <v>100000</v>
      </c>
      <c r="C61" s="26">
        <v>80000</v>
      </c>
      <c r="D61" s="4">
        <v>1.25</v>
      </c>
    </row>
    <row r="62" spans="1:13" x14ac:dyDescent="0.25">
      <c r="A62" s="11" t="s">
        <v>68</v>
      </c>
      <c r="B62" s="26">
        <v>10000000</v>
      </c>
      <c r="C62" s="26">
        <v>5000000</v>
      </c>
      <c r="D62" s="4">
        <v>2</v>
      </c>
    </row>
    <row r="63" spans="1:13" x14ac:dyDescent="0.25">
      <c r="A63" s="11" t="s">
        <v>148</v>
      </c>
      <c r="B63" s="26">
        <v>30000000</v>
      </c>
      <c r="C63" s="26">
        <v>10000000</v>
      </c>
      <c r="D63" s="4">
        <v>3</v>
      </c>
    </row>
    <row r="64" spans="1:13" x14ac:dyDescent="0.25">
      <c r="A64" s="11" t="s">
        <v>176</v>
      </c>
      <c r="B64" s="26">
        <v>4000000</v>
      </c>
      <c r="C64" s="26">
        <v>2000000</v>
      </c>
      <c r="D64" s="4">
        <v>2</v>
      </c>
    </row>
    <row r="65" spans="1:4" x14ac:dyDescent="0.25">
      <c r="A65" s="11" t="s">
        <v>116</v>
      </c>
      <c r="B65" s="26">
        <v>2000000</v>
      </c>
      <c r="C65" s="26">
        <v>1800000</v>
      </c>
      <c r="D65" s="4">
        <v>1.1111111111111112</v>
      </c>
    </row>
    <row r="66" spans="1:4" x14ac:dyDescent="0.25">
      <c r="A66" s="11" t="s">
        <v>72</v>
      </c>
      <c r="B66" s="26">
        <v>5000000</v>
      </c>
      <c r="C66" s="26">
        <v>3000000</v>
      </c>
      <c r="D66" s="4">
        <v>1.6666666666666667</v>
      </c>
    </row>
    <row r="67" spans="1:4" x14ac:dyDescent="0.25">
      <c r="A67" s="11" t="s">
        <v>157</v>
      </c>
      <c r="B67" s="26">
        <v>10000000</v>
      </c>
      <c r="C67" s="26">
        <v>5000000</v>
      </c>
      <c r="D67" s="4">
        <v>2</v>
      </c>
    </row>
    <row r="68" spans="1:4" x14ac:dyDescent="0.25">
      <c r="A68" s="11" t="s">
        <v>78</v>
      </c>
      <c r="B68" s="26">
        <v>10000000</v>
      </c>
      <c r="C68" s="26">
        <v>5000000</v>
      </c>
      <c r="D68" s="4">
        <v>2</v>
      </c>
    </row>
    <row r="69" spans="1:4" x14ac:dyDescent="0.25">
      <c r="A69" s="11" t="s">
        <v>22</v>
      </c>
      <c r="B69" s="26">
        <v>20000000</v>
      </c>
      <c r="C69" s="26">
        <v>10000000</v>
      </c>
      <c r="D69" s="4">
        <v>2</v>
      </c>
    </row>
    <row r="70" spans="1:4" x14ac:dyDescent="0.25">
      <c r="A70" s="11" t="s">
        <v>174</v>
      </c>
      <c r="B70" s="26">
        <v>2000000</v>
      </c>
      <c r="C70" s="26">
        <v>1500000</v>
      </c>
      <c r="D70" s="4">
        <v>1.3333333333333333</v>
      </c>
    </row>
    <row r="71" spans="1:4" x14ac:dyDescent="0.25">
      <c r="A71" s="11" t="s">
        <v>69</v>
      </c>
      <c r="B71" s="26">
        <v>5000000</v>
      </c>
      <c r="C71" s="26">
        <v>2000000</v>
      </c>
      <c r="D71" s="4">
        <v>2.5</v>
      </c>
    </row>
    <row r="72" spans="1:4" x14ac:dyDescent="0.25">
      <c r="A72" s="11" t="s">
        <v>120</v>
      </c>
      <c r="B72" s="26">
        <v>5000000</v>
      </c>
      <c r="C72" s="26">
        <v>10000000</v>
      </c>
      <c r="D72" s="4">
        <v>0.5</v>
      </c>
    </row>
    <row r="73" spans="1:4" x14ac:dyDescent="0.25">
      <c r="A73" s="11" t="s">
        <v>127</v>
      </c>
      <c r="B73" s="26">
        <v>5000000</v>
      </c>
      <c r="C73" s="26">
        <v>10000000</v>
      </c>
      <c r="D73" s="4">
        <v>0.5</v>
      </c>
    </row>
    <row r="74" spans="1:4" x14ac:dyDescent="0.25">
      <c r="A74" s="11" t="s">
        <v>98</v>
      </c>
      <c r="B74" s="26">
        <v>3500000</v>
      </c>
      <c r="C74" s="26">
        <v>2000000</v>
      </c>
      <c r="D74" s="4">
        <v>1.75</v>
      </c>
    </row>
    <row r="75" spans="1:4" x14ac:dyDescent="0.25">
      <c r="A75" s="11" t="s">
        <v>55</v>
      </c>
      <c r="B75" s="26">
        <v>5000000</v>
      </c>
      <c r="C75" s="26">
        <v>2000000</v>
      </c>
      <c r="D75" s="4">
        <v>2.5</v>
      </c>
    </row>
    <row r="76" spans="1:4" x14ac:dyDescent="0.25">
      <c r="A76" s="11" t="s">
        <v>122</v>
      </c>
      <c r="B76" s="26">
        <v>5000000</v>
      </c>
      <c r="C76" s="26">
        <v>2000000</v>
      </c>
      <c r="D76" s="4">
        <v>2.5</v>
      </c>
    </row>
    <row r="77" spans="1:4" x14ac:dyDescent="0.25">
      <c r="A77" s="11" t="s">
        <v>115</v>
      </c>
      <c r="B77" s="26">
        <v>2000000</v>
      </c>
      <c r="C77" s="26">
        <v>1600000</v>
      </c>
      <c r="D77" s="4">
        <v>1.25</v>
      </c>
    </row>
    <row r="78" spans="1:4" x14ac:dyDescent="0.25">
      <c r="A78" s="11" t="s">
        <v>86</v>
      </c>
      <c r="B78" s="26">
        <v>4000000</v>
      </c>
      <c r="C78" s="26">
        <v>2000000</v>
      </c>
      <c r="D78" s="4">
        <v>2</v>
      </c>
    </row>
    <row r="79" spans="1:4" x14ac:dyDescent="0.25">
      <c r="A79" s="11" t="s">
        <v>102</v>
      </c>
      <c r="B79" s="26">
        <v>4000000</v>
      </c>
      <c r="C79" s="26">
        <v>4000000</v>
      </c>
      <c r="D79" s="4">
        <v>1</v>
      </c>
    </row>
    <row r="80" spans="1:4" x14ac:dyDescent="0.25">
      <c r="A80" s="11" t="s">
        <v>64</v>
      </c>
      <c r="B80" s="26">
        <v>3500000</v>
      </c>
      <c r="C80" s="26">
        <v>1500000</v>
      </c>
      <c r="D80" s="4">
        <v>2.3333333333333335</v>
      </c>
    </row>
    <row r="81" spans="1:4" x14ac:dyDescent="0.25">
      <c r="A81" s="11" t="s">
        <v>151</v>
      </c>
      <c r="B81" s="26">
        <v>50000000</v>
      </c>
      <c r="C81" s="26">
        <v>30000000</v>
      </c>
      <c r="D81" s="4">
        <v>1.6666666666666667</v>
      </c>
    </row>
    <row r="82" spans="1:4" x14ac:dyDescent="0.25">
      <c r="A82" s="11" t="s">
        <v>139</v>
      </c>
      <c r="B82" s="26">
        <v>10000000</v>
      </c>
      <c r="C82" s="26">
        <v>5000000</v>
      </c>
      <c r="D82" s="4">
        <v>2</v>
      </c>
    </row>
    <row r="83" spans="1:4" x14ac:dyDescent="0.25">
      <c r="A83" s="11" t="s">
        <v>135</v>
      </c>
      <c r="B83" s="26">
        <v>10000000</v>
      </c>
      <c r="C83" s="26">
        <v>5000000</v>
      </c>
      <c r="D83" s="4">
        <v>2</v>
      </c>
    </row>
    <row r="84" spans="1:4" x14ac:dyDescent="0.25">
      <c r="A84" s="11" t="s">
        <v>150</v>
      </c>
      <c r="B84" s="26">
        <v>50000000</v>
      </c>
      <c r="C84" s="26">
        <v>30000000</v>
      </c>
      <c r="D84" s="4">
        <v>1.6666666666666667</v>
      </c>
    </row>
    <row r="85" spans="1:4" x14ac:dyDescent="0.25">
      <c r="A85" s="11" t="s">
        <v>125</v>
      </c>
      <c r="B85" s="26">
        <v>3000000</v>
      </c>
      <c r="C85" s="26">
        <v>2000000</v>
      </c>
      <c r="D85" s="4">
        <v>1.5</v>
      </c>
    </row>
    <row r="86" spans="1:4" x14ac:dyDescent="0.25">
      <c r="A86" s="11" t="s">
        <v>96</v>
      </c>
      <c r="B86" s="26">
        <v>5000000</v>
      </c>
      <c r="C86" s="26">
        <v>10000000</v>
      </c>
      <c r="D86" s="4">
        <v>0.5</v>
      </c>
    </row>
    <row r="87" spans="1:4" x14ac:dyDescent="0.25">
      <c r="A87" s="11" t="s">
        <v>92</v>
      </c>
      <c r="B87" s="26">
        <v>2000000</v>
      </c>
      <c r="C87" s="26">
        <v>1500000</v>
      </c>
      <c r="D87" s="4">
        <v>1.3333333333333333</v>
      </c>
    </row>
    <row r="88" spans="1:4" x14ac:dyDescent="0.25">
      <c r="A88" s="11" t="s">
        <v>81</v>
      </c>
      <c r="B88" s="26">
        <v>1000000</v>
      </c>
      <c r="C88" s="26">
        <v>50000</v>
      </c>
      <c r="D88" s="4">
        <v>20</v>
      </c>
    </row>
    <row r="89" spans="1:4" x14ac:dyDescent="0.25">
      <c r="A89" s="11" t="s">
        <v>175</v>
      </c>
      <c r="B89" s="26">
        <v>5000000</v>
      </c>
      <c r="C89" s="26">
        <v>2500000</v>
      </c>
      <c r="D89" s="4">
        <v>2</v>
      </c>
    </row>
    <row r="90" spans="1:4" x14ac:dyDescent="0.25">
      <c r="A90" s="11" t="s">
        <v>123</v>
      </c>
      <c r="B90" s="26">
        <v>5000000</v>
      </c>
      <c r="C90" s="26">
        <v>2500000</v>
      </c>
      <c r="D90" s="4">
        <v>2</v>
      </c>
    </row>
    <row r="91" spans="1:4" x14ac:dyDescent="0.25">
      <c r="A91" s="11" t="s">
        <v>112</v>
      </c>
      <c r="B91" s="26">
        <v>5000000</v>
      </c>
      <c r="C91" s="26">
        <v>2000000</v>
      </c>
      <c r="D91" s="4">
        <v>2.5</v>
      </c>
    </row>
    <row r="92" spans="1:4" x14ac:dyDescent="0.25">
      <c r="A92" s="11" t="s">
        <v>90</v>
      </c>
      <c r="B92" s="26">
        <v>10000000</v>
      </c>
      <c r="C92" s="26">
        <v>5000000</v>
      </c>
      <c r="D92" s="4">
        <v>2</v>
      </c>
    </row>
    <row r="93" spans="1:4" x14ac:dyDescent="0.25">
      <c r="A93" s="11" t="s">
        <v>190</v>
      </c>
      <c r="B93" s="26">
        <v>2000000</v>
      </c>
      <c r="C93" s="26">
        <v>1800000</v>
      </c>
      <c r="D93" s="4">
        <v>1.1111111111111112</v>
      </c>
    </row>
    <row r="94" spans="1:4" x14ac:dyDescent="0.25">
      <c r="A94" s="11" t="s">
        <v>108</v>
      </c>
      <c r="B94" s="26">
        <v>2000000</v>
      </c>
      <c r="C94" s="26">
        <v>1500000</v>
      </c>
      <c r="D94" s="4">
        <v>1.3333333333333333</v>
      </c>
    </row>
    <row r="95" spans="1:4" x14ac:dyDescent="0.25">
      <c r="A95" s="11" t="s">
        <v>130</v>
      </c>
      <c r="B95" s="26">
        <v>20000000</v>
      </c>
      <c r="C95" s="26">
        <v>5000000</v>
      </c>
      <c r="D95" s="4">
        <v>4</v>
      </c>
    </row>
    <row r="96" spans="1:4" x14ac:dyDescent="0.25">
      <c r="A96" s="11" t="s">
        <v>85</v>
      </c>
      <c r="B96" s="26">
        <v>3500000</v>
      </c>
      <c r="C96" s="26">
        <v>1000000</v>
      </c>
      <c r="D96" s="4">
        <v>3.5</v>
      </c>
    </row>
    <row r="97" spans="1:4" x14ac:dyDescent="0.25">
      <c r="A97" s="11" t="s">
        <v>74</v>
      </c>
      <c r="B97" s="26">
        <v>2000000</v>
      </c>
      <c r="C97" s="26">
        <v>1800000</v>
      </c>
      <c r="D97" s="4">
        <v>1.1111111111111112</v>
      </c>
    </row>
    <row r="98" spans="1:4" x14ac:dyDescent="0.25">
      <c r="A98" s="11" t="s">
        <v>154</v>
      </c>
      <c r="B98" s="26">
        <v>30000000</v>
      </c>
      <c r="C98" s="26">
        <v>10000000</v>
      </c>
      <c r="D98" s="4">
        <v>3</v>
      </c>
    </row>
    <row r="99" spans="1:4" x14ac:dyDescent="0.25">
      <c r="A99" s="11" t="s">
        <v>126</v>
      </c>
      <c r="B99" s="26">
        <v>5000000</v>
      </c>
      <c r="C99" s="26">
        <v>4000000</v>
      </c>
      <c r="D99" s="4">
        <v>1.25</v>
      </c>
    </row>
    <row r="100" spans="1:4" x14ac:dyDescent="0.25">
      <c r="A100" s="11" t="s">
        <v>164</v>
      </c>
      <c r="B100" s="26">
        <v>10000000</v>
      </c>
      <c r="C100" s="26">
        <v>5000000</v>
      </c>
      <c r="D100" s="4">
        <v>2</v>
      </c>
    </row>
    <row r="101" spans="1:4" x14ac:dyDescent="0.25">
      <c r="A101" s="11" t="s">
        <v>189</v>
      </c>
      <c r="B101" s="26">
        <v>10000000</v>
      </c>
      <c r="C101" s="26">
        <v>3000000</v>
      </c>
      <c r="D101" s="4">
        <v>3.3333333333333335</v>
      </c>
    </row>
    <row r="102" spans="1:4" x14ac:dyDescent="0.25">
      <c r="A102" s="11" t="s">
        <v>144</v>
      </c>
      <c r="B102" s="26">
        <v>10000000</v>
      </c>
      <c r="C102" s="26">
        <v>5000000</v>
      </c>
      <c r="D102" s="4">
        <v>2</v>
      </c>
    </row>
    <row r="103" spans="1:4" x14ac:dyDescent="0.25">
      <c r="A103" s="11" t="s">
        <v>100</v>
      </c>
      <c r="B103" s="26">
        <v>20000000</v>
      </c>
      <c r="C103" s="26">
        <v>2000000</v>
      </c>
      <c r="D103" s="4">
        <v>10</v>
      </c>
    </row>
    <row r="104" spans="1:4" x14ac:dyDescent="0.25">
      <c r="A104" s="11" t="s">
        <v>165</v>
      </c>
      <c r="B104" s="26">
        <v>50000000</v>
      </c>
      <c r="C104" s="26">
        <v>20000000</v>
      </c>
      <c r="D104" s="4">
        <v>2.5</v>
      </c>
    </row>
    <row r="105" spans="1:4" x14ac:dyDescent="0.25">
      <c r="A105" s="11" t="s">
        <v>24</v>
      </c>
      <c r="B105" s="26">
        <v>20000000</v>
      </c>
      <c r="C105" s="26">
        <v>10000000</v>
      </c>
      <c r="D105" s="4">
        <v>2</v>
      </c>
    </row>
    <row r="106" spans="1:4" x14ac:dyDescent="0.25">
      <c r="A106" s="11" t="s">
        <v>194</v>
      </c>
      <c r="B106" s="26">
        <v>10000000</v>
      </c>
      <c r="C106" s="26">
        <v>5000000</v>
      </c>
      <c r="D106" s="4">
        <v>2</v>
      </c>
    </row>
    <row r="107" spans="1:4" x14ac:dyDescent="0.25">
      <c r="A107" s="11" t="s">
        <v>187</v>
      </c>
      <c r="B107" s="26">
        <v>20000000</v>
      </c>
      <c r="C107" s="26">
        <v>10000000</v>
      </c>
      <c r="D107" s="4">
        <v>2</v>
      </c>
    </row>
    <row r="108" spans="1:4" x14ac:dyDescent="0.25">
      <c r="A108" s="11" t="s">
        <v>53</v>
      </c>
      <c r="B108" s="26">
        <v>3500000</v>
      </c>
      <c r="C108" s="26">
        <v>2000000</v>
      </c>
      <c r="D108" s="4">
        <v>1.75</v>
      </c>
    </row>
    <row r="109" spans="1:4" x14ac:dyDescent="0.25">
      <c r="A109" s="11" t="s">
        <v>51</v>
      </c>
      <c r="B109" s="26">
        <v>3500000</v>
      </c>
      <c r="C109" s="26">
        <v>2000000</v>
      </c>
      <c r="D109" s="4">
        <v>1.75</v>
      </c>
    </row>
    <row r="110" spans="1:4" x14ac:dyDescent="0.25">
      <c r="A110" s="11" t="s">
        <v>84</v>
      </c>
      <c r="B110" s="26">
        <v>10000000</v>
      </c>
      <c r="C110" s="26">
        <v>5000000</v>
      </c>
      <c r="D110" s="4">
        <v>2</v>
      </c>
    </row>
    <row r="111" spans="1:4" x14ac:dyDescent="0.25">
      <c r="A111" s="11" t="s">
        <v>109</v>
      </c>
      <c r="B111" s="26">
        <v>10000000</v>
      </c>
      <c r="C111" s="26">
        <v>5000000</v>
      </c>
      <c r="D111" s="4">
        <v>2</v>
      </c>
    </row>
    <row r="112" spans="1:4" x14ac:dyDescent="0.25">
      <c r="A112" s="11" t="s">
        <v>63</v>
      </c>
      <c r="B112" s="26">
        <v>10000000</v>
      </c>
      <c r="C112" s="26">
        <v>5000000</v>
      </c>
      <c r="D112" s="4">
        <v>2</v>
      </c>
    </row>
    <row r="113" spans="1:4" x14ac:dyDescent="0.25">
      <c r="A113" s="11" t="s">
        <v>146</v>
      </c>
      <c r="B113" s="26">
        <v>5000000</v>
      </c>
      <c r="C113" s="26">
        <v>1000000</v>
      </c>
      <c r="D113" s="4">
        <v>5</v>
      </c>
    </row>
    <row r="114" spans="1:4" x14ac:dyDescent="0.25">
      <c r="A114" s="11" t="s">
        <v>73</v>
      </c>
      <c r="B114" s="26">
        <v>10000000</v>
      </c>
      <c r="C114" s="26">
        <v>3000000</v>
      </c>
      <c r="D114" s="4">
        <v>3.3333333333333335</v>
      </c>
    </row>
    <row r="115" spans="1:4" x14ac:dyDescent="0.25">
      <c r="A115" s="11" t="s">
        <v>79</v>
      </c>
      <c r="B115" s="26">
        <v>10000000</v>
      </c>
      <c r="C115" s="26">
        <v>5000000</v>
      </c>
      <c r="D115" s="4">
        <v>2</v>
      </c>
    </row>
    <row r="116" spans="1:4" x14ac:dyDescent="0.25">
      <c r="A116" s="11" t="s">
        <v>128</v>
      </c>
      <c r="B116" s="26">
        <v>2000000</v>
      </c>
      <c r="C116" s="26">
        <v>2500000</v>
      </c>
      <c r="D116" s="4">
        <v>0.8</v>
      </c>
    </row>
    <row r="117" spans="1:4" x14ac:dyDescent="0.25">
      <c r="A117" s="11" t="s">
        <v>156</v>
      </c>
      <c r="B117" s="26">
        <v>40000000</v>
      </c>
      <c r="C117" s="26">
        <v>20000000</v>
      </c>
      <c r="D117" s="4">
        <v>2</v>
      </c>
    </row>
    <row r="118" spans="1:4" x14ac:dyDescent="0.25">
      <c r="A118" s="11" t="s">
        <v>161</v>
      </c>
      <c r="B118" s="26">
        <v>10000000</v>
      </c>
      <c r="C118" s="26">
        <v>5000000</v>
      </c>
      <c r="D118" s="4">
        <v>2</v>
      </c>
    </row>
    <row r="119" spans="1:4" x14ac:dyDescent="0.25">
      <c r="A119" s="11" t="s">
        <v>58</v>
      </c>
      <c r="B119" s="26">
        <v>2000000</v>
      </c>
      <c r="C119" s="26">
        <v>1800000</v>
      </c>
      <c r="D119" s="4">
        <v>1.1111111111111112</v>
      </c>
    </row>
    <row r="120" spans="1:4" x14ac:dyDescent="0.25">
      <c r="A120" s="11" t="s">
        <v>153</v>
      </c>
      <c r="B120" s="26">
        <v>10000000</v>
      </c>
      <c r="C120" s="26">
        <v>3000000</v>
      </c>
      <c r="D120" s="4">
        <v>3.3333333333333335</v>
      </c>
    </row>
    <row r="121" spans="1:4" x14ac:dyDescent="0.25">
      <c r="A121" s="11" t="s">
        <v>160</v>
      </c>
      <c r="B121" s="26">
        <v>10000000</v>
      </c>
      <c r="C121" s="26">
        <v>5000000</v>
      </c>
      <c r="D121" s="4">
        <v>2</v>
      </c>
    </row>
    <row r="122" spans="1:4" x14ac:dyDescent="0.25">
      <c r="A122" s="11" t="s">
        <v>173</v>
      </c>
      <c r="B122" s="26">
        <v>2000000</v>
      </c>
      <c r="C122" s="26">
        <v>1500000</v>
      </c>
      <c r="D122" s="4">
        <v>1.3333333333333333</v>
      </c>
    </row>
    <row r="123" spans="1:4" x14ac:dyDescent="0.25">
      <c r="A123" s="11" t="s">
        <v>89</v>
      </c>
      <c r="B123" s="26">
        <v>5000000</v>
      </c>
      <c r="C123" s="26">
        <v>2500000</v>
      </c>
      <c r="D123" s="4">
        <v>2</v>
      </c>
    </row>
    <row r="124" spans="1:4" x14ac:dyDescent="0.25">
      <c r="A124" s="11" t="s">
        <v>87</v>
      </c>
      <c r="B124" s="26">
        <v>10000000</v>
      </c>
      <c r="C124" s="26">
        <v>5000000</v>
      </c>
      <c r="D124" s="4">
        <v>2</v>
      </c>
    </row>
    <row r="125" spans="1:4" x14ac:dyDescent="0.25">
      <c r="A125" s="11" t="s">
        <v>201</v>
      </c>
      <c r="B125" s="26">
        <v>1207100000</v>
      </c>
      <c r="C125" s="26">
        <v>635980000</v>
      </c>
      <c r="D125" s="4">
        <v>1.8980156608698386</v>
      </c>
    </row>
  </sheetData>
  <mergeCells count="6">
    <mergeCell ref="G3:L3"/>
    <mergeCell ref="F28:J28"/>
    <mergeCell ref="F53:M53"/>
    <mergeCell ref="F54:I54"/>
    <mergeCell ref="F55:L55"/>
    <mergeCell ref="F57:G57"/>
  </mergeCell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04884-0B33-4EC8-A122-8EB0A6F826F1}">
  <dimension ref="A3:D25"/>
  <sheetViews>
    <sheetView workbookViewId="0">
      <selection activeCell="H26" sqref="H26"/>
    </sheetView>
  </sheetViews>
  <sheetFormatPr defaultRowHeight="12" x14ac:dyDescent="0.25"/>
  <cols>
    <col min="1" max="1" width="14.7109375" bestFit="1" customWidth="1"/>
    <col min="2" max="2" width="33.28515625" bestFit="1" customWidth="1"/>
    <col min="3" max="3" width="12.5703125" bestFit="1" customWidth="1"/>
    <col min="4" max="4" width="20.42578125" bestFit="1" customWidth="1"/>
    <col min="5" max="5" width="17.85546875" bestFit="1" customWidth="1"/>
    <col min="6" max="6" width="15.28515625" bestFit="1" customWidth="1"/>
    <col min="7" max="7" width="34.5703125" bestFit="1" customWidth="1"/>
    <col min="8" max="8" width="16" bestFit="1" customWidth="1"/>
    <col min="9" max="9" width="32.85546875" bestFit="1" customWidth="1"/>
    <col min="10" max="10" width="24.7109375" bestFit="1" customWidth="1"/>
    <col min="11" max="11" width="41.140625" bestFit="1" customWidth="1"/>
    <col min="12" max="12" width="24" bestFit="1" customWidth="1"/>
    <col min="13" max="13" width="19.85546875" bestFit="1" customWidth="1"/>
    <col min="14" max="14" width="21.42578125" bestFit="1" customWidth="1"/>
    <col min="15" max="15" width="22.85546875" bestFit="1" customWidth="1"/>
    <col min="16" max="16" width="23.5703125" bestFit="1" customWidth="1"/>
    <col min="17" max="17" width="12" bestFit="1" customWidth="1"/>
    <col min="18" max="18" width="13.7109375" bestFit="1" customWidth="1"/>
    <col min="19" max="19" width="11" bestFit="1" customWidth="1"/>
    <col min="20" max="20" width="48.42578125" bestFit="1" customWidth="1"/>
    <col min="21" max="21" width="41.7109375" bestFit="1" customWidth="1"/>
    <col min="22" max="22" width="11.28515625" bestFit="1" customWidth="1"/>
    <col min="23" max="23" width="19" bestFit="1" customWidth="1"/>
    <col min="24" max="24" width="26.5703125" bestFit="1" customWidth="1"/>
    <col min="25" max="25" width="22.7109375" bestFit="1" customWidth="1"/>
    <col min="26" max="26" width="26.85546875" bestFit="1" customWidth="1"/>
    <col min="27" max="27" width="13.7109375" bestFit="1" customWidth="1"/>
    <col min="28" max="28" width="20.28515625" bestFit="1" customWidth="1"/>
    <col min="29" max="29" width="27.42578125" bestFit="1" customWidth="1"/>
    <col min="30" max="30" width="24.42578125" bestFit="1" customWidth="1"/>
    <col min="31" max="31" width="12.140625" bestFit="1" customWidth="1"/>
    <col min="32" max="32" width="13.7109375" bestFit="1" customWidth="1"/>
    <col min="33" max="33" width="29.85546875" bestFit="1" customWidth="1"/>
    <col min="34" max="34" width="19.140625" bestFit="1" customWidth="1"/>
    <col min="35" max="35" width="12.42578125" bestFit="1" customWidth="1"/>
    <col min="36" max="36" width="39.28515625" bestFit="1" customWidth="1"/>
    <col min="37" max="37" width="14.7109375" bestFit="1" customWidth="1"/>
    <col min="38" max="38" width="15.5703125" bestFit="1" customWidth="1"/>
    <col min="39" max="39" width="13.42578125" bestFit="1" customWidth="1"/>
    <col min="40" max="40" width="27.7109375" bestFit="1" customWidth="1"/>
    <col min="41" max="41" width="16.5703125" bestFit="1" customWidth="1"/>
    <col min="42" max="42" width="21" bestFit="1" customWidth="1"/>
    <col min="43" max="43" width="15.140625" bestFit="1" customWidth="1"/>
    <col min="44" max="44" width="20" bestFit="1" customWidth="1"/>
    <col min="45" max="45" width="27" bestFit="1" customWidth="1"/>
    <col min="46" max="46" width="12.140625" bestFit="1" customWidth="1"/>
    <col min="47" max="47" width="13.140625" bestFit="1" customWidth="1"/>
    <col min="48" max="48" width="7.7109375" bestFit="1" customWidth="1"/>
    <col min="49" max="49" width="16.28515625" bestFit="1" customWidth="1"/>
    <col min="50" max="50" width="19.140625" bestFit="1" customWidth="1"/>
    <col min="51" max="51" width="17.7109375" bestFit="1" customWidth="1"/>
    <col min="52" max="52" width="12.5703125" bestFit="1" customWidth="1"/>
    <col min="53" max="53" width="12.7109375" bestFit="1" customWidth="1"/>
    <col min="54" max="54" width="18.85546875" bestFit="1" customWidth="1"/>
    <col min="55" max="55" width="16.140625" bestFit="1" customWidth="1"/>
    <col min="56" max="56" width="15.42578125" bestFit="1" customWidth="1"/>
    <col min="57" max="57" width="26.140625" bestFit="1" customWidth="1"/>
    <col min="58" max="58" width="18.28515625" bestFit="1" customWidth="1"/>
    <col min="59" max="59" width="18.7109375" bestFit="1" customWidth="1"/>
    <col min="60" max="60" width="18.42578125" bestFit="1" customWidth="1"/>
    <col min="61" max="61" width="17.5703125" bestFit="1" customWidth="1"/>
    <col min="62" max="62" width="13.140625" bestFit="1" customWidth="1"/>
    <col min="63" max="63" width="22.85546875" bestFit="1" customWidth="1"/>
    <col min="64" max="64" width="24.42578125" bestFit="1" customWidth="1"/>
    <col min="65" max="65" width="23.7109375" bestFit="1" customWidth="1"/>
    <col min="66" max="66" width="15.5703125" bestFit="1" customWidth="1"/>
    <col min="67" max="67" width="15.85546875" bestFit="1" customWidth="1"/>
    <col min="68" max="68" width="14" bestFit="1" customWidth="1"/>
    <col min="69" max="69" width="15.140625" bestFit="1" customWidth="1"/>
    <col min="70" max="70" width="25.85546875" bestFit="1" customWidth="1"/>
    <col min="71" max="71" width="16" bestFit="1" customWidth="1"/>
    <col min="72" max="72" width="14" bestFit="1" customWidth="1"/>
    <col min="73" max="73" width="20.140625" bestFit="1" customWidth="1"/>
    <col min="74" max="74" width="22.42578125" bestFit="1" customWidth="1"/>
    <col min="75" max="75" width="20.42578125" bestFit="1" customWidth="1"/>
    <col min="76" max="76" width="15.7109375" bestFit="1" customWidth="1"/>
    <col min="77" max="77" width="26" bestFit="1" customWidth="1"/>
    <col min="78" max="78" width="27.85546875" bestFit="1" customWidth="1"/>
    <col min="79" max="79" width="25.5703125" bestFit="1" customWidth="1"/>
    <col min="80" max="80" width="12.85546875" bestFit="1" customWidth="1"/>
    <col min="81" max="81" width="18" bestFit="1" customWidth="1"/>
    <col min="82" max="82" width="8.42578125" bestFit="1" customWidth="1"/>
    <col min="83" max="83" width="21.85546875" bestFit="1" customWidth="1"/>
    <col min="84" max="84" width="12.7109375" bestFit="1" customWidth="1"/>
    <col min="85" max="85" width="29.85546875" bestFit="1" customWidth="1"/>
    <col min="86" max="86" width="31.85546875" bestFit="1" customWidth="1"/>
    <col min="87" max="87" width="12.140625" bestFit="1" customWidth="1"/>
    <col min="88" max="88" width="14.28515625" bestFit="1" customWidth="1"/>
    <col min="89" max="89" width="18.28515625" bestFit="1" customWidth="1"/>
    <col min="90" max="90" width="13.28515625" bestFit="1" customWidth="1"/>
    <col min="91" max="91" width="28" bestFit="1" customWidth="1"/>
    <col min="92" max="92" width="30.140625" bestFit="1" customWidth="1"/>
    <col min="93" max="93" width="12.42578125" bestFit="1" customWidth="1"/>
    <col min="94" max="94" width="23.140625" bestFit="1" customWidth="1"/>
    <col min="95" max="95" width="14.5703125" bestFit="1" customWidth="1"/>
    <col min="96" max="96" width="24.5703125" bestFit="1" customWidth="1"/>
    <col min="97" max="97" width="14" bestFit="1" customWidth="1"/>
    <col min="98" max="98" width="10.140625" bestFit="1" customWidth="1"/>
    <col min="99" max="99" width="18.42578125" bestFit="1" customWidth="1"/>
    <col min="100" max="100" width="20.85546875" bestFit="1" customWidth="1"/>
    <col min="101" max="101" width="12.42578125" bestFit="1" customWidth="1"/>
    <col min="102" max="102" width="43.5703125" bestFit="1" customWidth="1"/>
    <col min="103" max="103" width="13.5703125" bestFit="1" customWidth="1"/>
    <col min="104" max="104" width="15.140625" bestFit="1" customWidth="1"/>
    <col min="105" max="105" width="22.7109375" bestFit="1" customWidth="1"/>
    <col min="106" max="106" width="13.85546875" bestFit="1" customWidth="1"/>
    <col min="107" max="107" width="17.85546875" bestFit="1" customWidth="1"/>
    <col min="108" max="108" width="22" bestFit="1" customWidth="1"/>
    <col min="109" max="109" width="22.85546875" bestFit="1" customWidth="1"/>
    <col min="110" max="110" width="13.140625" bestFit="1" customWidth="1"/>
    <col min="111" max="111" width="18.42578125" bestFit="1" customWidth="1"/>
    <col min="112" max="112" width="31" bestFit="1" customWidth="1"/>
    <col min="113" max="113" width="14.140625" bestFit="1" customWidth="1"/>
    <col min="114" max="114" width="12" bestFit="1" customWidth="1"/>
    <col min="115" max="115" width="19.5703125" bestFit="1" customWidth="1"/>
    <col min="116" max="116" width="38.5703125" bestFit="1" customWidth="1"/>
    <col min="117" max="117" width="39" bestFit="1" customWidth="1"/>
    <col min="118" max="118" width="19" bestFit="1" customWidth="1"/>
    <col min="119" max="119" width="28.42578125" bestFit="1" customWidth="1"/>
    <col min="120" max="120" width="23.28515625" bestFit="1" customWidth="1"/>
    <col min="121" max="121" width="12.140625" bestFit="1" customWidth="1"/>
  </cols>
  <sheetData>
    <row r="3" spans="1:2" ht="18" x14ac:dyDescent="0.35">
      <c r="A3" s="50" t="s">
        <v>215</v>
      </c>
      <c r="B3" s="50"/>
    </row>
    <row r="5" spans="1:2" x14ac:dyDescent="0.25">
      <c r="A5" s="25" t="s">
        <v>200</v>
      </c>
      <c r="B5" t="s">
        <v>208</v>
      </c>
    </row>
    <row r="6" spans="1:2" x14ac:dyDescent="0.25">
      <c r="A6" s="11" t="s">
        <v>41</v>
      </c>
      <c r="B6" s="26">
        <v>83074.074074074073</v>
      </c>
    </row>
    <row r="7" spans="1:2" x14ac:dyDescent="0.25">
      <c r="A7" s="11" t="s">
        <v>42</v>
      </c>
      <c r="B7" s="26">
        <v>15961.538461538461</v>
      </c>
    </row>
    <row r="8" spans="1:2" x14ac:dyDescent="0.25">
      <c r="A8" s="11" t="s">
        <v>149</v>
      </c>
      <c r="B8" s="26">
        <v>6240</v>
      </c>
    </row>
    <row r="9" spans="1:2" x14ac:dyDescent="0.25">
      <c r="A9" s="11" t="s">
        <v>37</v>
      </c>
      <c r="B9" s="26">
        <v>5152.782608695652</v>
      </c>
    </row>
    <row r="10" spans="1:2" x14ac:dyDescent="0.25">
      <c r="A10" s="11" t="s">
        <v>38</v>
      </c>
      <c r="B10" s="26">
        <v>5073.6842105263158</v>
      </c>
    </row>
    <row r="11" spans="1:2" x14ac:dyDescent="0.25">
      <c r="A11" s="11" t="s">
        <v>201</v>
      </c>
      <c r="B11" s="26">
        <v>25240.95</v>
      </c>
    </row>
    <row r="25" spans="4:4" x14ac:dyDescent="0.25">
      <c r="D25" t="s">
        <v>231</v>
      </c>
    </row>
  </sheetData>
  <mergeCells count="1">
    <mergeCell ref="A3:B3"/>
  </mergeCell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D1BB7-2EF0-461A-BC83-F480336CE3C2}">
  <dimension ref="A3:C31"/>
  <sheetViews>
    <sheetView workbookViewId="0">
      <selection activeCell="D4" sqref="D4"/>
    </sheetView>
  </sheetViews>
  <sheetFormatPr defaultRowHeight="12" x14ac:dyDescent="0.25"/>
  <cols>
    <col min="1" max="1" width="43.7109375" bestFit="1" customWidth="1"/>
    <col min="2" max="2" width="21.140625" bestFit="1" customWidth="1"/>
    <col min="3" max="3" width="32.28515625" bestFit="1" customWidth="1"/>
  </cols>
  <sheetData>
    <row r="3" spans="1:3" ht="18" x14ac:dyDescent="0.35">
      <c r="A3" s="50" t="s">
        <v>216</v>
      </c>
      <c r="B3" s="50"/>
      <c r="C3" s="50"/>
    </row>
    <row r="5" spans="1:3" x14ac:dyDescent="0.25">
      <c r="A5" s="25" t="s">
        <v>9</v>
      </c>
      <c r="B5" t="s">
        <v>12</v>
      </c>
    </row>
    <row r="7" spans="1:3" x14ac:dyDescent="0.25">
      <c r="A7" s="25" t="s">
        <v>200</v>
      </c>
      <c r="B7" t="s">
        <v>209</v>
      </c>
      <c r="C7" t="s">
        <v>202</v>
      </c>
    </row>
    <row r="8" spans="1:3" x14ac:dyDescent="0.25">
      <c r="A8" s="11" t="s">
        <v>196</v>
      </c>
      <c r="B8" s="26">
        <v>1</v>
      </c>
      <c r="C8" s="26">
        <v>2000000</v>
      </c>
    </row>
    <row r="9" spans="1:3" x14ac:dyDescent="0.25">
      <c r="A9" s="11" t="s">
        <v>52</v>
      </c>
      <c r="B9" s="26">
        <v>1</v>
      </c>
      <c r="C9" s="26">
        <v>20000000</v>
      </c>
    </row>
    <row r="10" spans="1:3" x14ac:dyDescent="0.25">
      <c r="A10" s="11" t="s">
        <v>60</v>
      </c>
      <c r="B10" s="26">
        <v>1</v>
      </c>
      <c r="C10" s="26">
        <v>2000000</v>
      </c>
    </row>
    <row r="11" spans="1:3" x14ac:dyDescent="0.25">
      <c r="A11" s="11" t="s">
        <v>54</v>
      </c>
      <c r="B11" s="26">
        <v>1</v>
      </c>
      <c r="C11" s="26">
        <v>10000000</v>
      </c>
    </row>
    <row r="12" spans="1:3" x14ac:dyDescent="0.25">
      <c r="A12" s="11" t="s">
        <v>70</v>
      </c>
      <c r="B12" s="26">
        <v>1</v>
      </c>
      <c r="C12" s="26">
        <v>5000000</v>
      </c>
    </row>
    <row r="13" spans="1:3" x14ac:dyDescent="0.25">
      <c r="A13" s="11" t="s">
        <v>65</v>
      </c>
      <c r="B13" s="26">
        <v>1</v>
      </c>
      <c r="C13" s="26">
        <v>3500000</v>
      </c>
    </row>
    <row r="14" spans="1:3" x14ac:dyDescent="0.25">
      <c r="A14" s="11" t="s">
        <v>50</v>
      </c>
      <c r="B14" s="26">
        <v>1</v>
      </c>
      <c r="C14" s="26">
        <v>1000000</v>
      </c>
    </row>
    <row r="15" spans="1:3" x14ac:dyDescent="0.25">
      <c r="A15" s="11" t="s">
        <v>47</v>
      </c>
      <c r="B15" s="26">
        <v>1</v>
      </c>
      <c r="C15" s="26">
        <v>3000000</v>
      </c>
    </row>
    <row r="16" spans="1:3" x14ac:dyDescent="0.25">
      <c r="A16" s="11" t="s">
        <v>46</v>
      </c>
      <c r="B16" s="26">
        <v>1</v>
      </c>
      <c r="C16" s="26">
        <v>2000000</v>
      </c>
    </row>
    <row r="17" spans="1:3" x14ac:dyDescent="0.25">
      <c r="A17" s="11" t="s">
        <v>61</v>
      </c>
      <c r="B17" s="26">
        <v>2</v>
      </c>
      <c r="C17" s="26">
        <v>14000000</v>
      </c>
    </row>
    <row r="18" spans="1:3" x14ac:dyDescent="0.25">
      <c r="A18" s="11" t="s">
        <v>133</v>
      </c>
      <c r="B18" s="26">
        <v>1</v>
      </c>
      <c r="C18" s="26">
        <v>5000000</v>
      </c>
    </row>
    <row r="19" spans="1:3" x14ac:dyDescent="0.25">
      <c r="A19" s="11" t="s">
        <v>71</v>
      </c>
      <c r="B19" s="26">
        <v>1</v>
      </c>
      <c r="C19" s="26">
        <v>5000000</v>
      </c>
    </row>
    <row r="20" spans="1:3" x14ac:dyDescent="0.25">
      <c r="A20" s="11" t="s">
        <v>23</v>
      </c>
      <c r="B20" s="26">
        <v>1</v>
      </c>
      <c r="C20" s="26">
        <v>100000000</v>
      </c>
    </row>
    <row r="21" spans="1:3" x14ac:dyDescent="0.25">
      <c r="A21" s="11" t="s">
        <v>67</v>
      </c>
      <c r="B21" s="26">
        <v>1</v>
      </c>
      <c r="C21" s="26">
        <v>100000</v>
      </c>
    </row>
    <row r="22" spans="1:3" x14ac:dyDescent="0.25">
      <c r="A22" s="11" t="s">
        <v>68</v>
      </c>
      <c r="B22" s="26">
        <v>1</v>
      </c>
      <c r="C22" s="26">
        <v>10000000</v>
      </c>
    </row>
    <row r="23" spans="1:3" x14ac:dyDescent="0.25">
      <c r="A23" s="11" t="s">
        <v>69</v>
      </c>
      <c r="B23" s="26">
        <v>1</v>
      </c>
      <c r="C23" s="26">
        <v>5000000</v>
      </c>
    </row>
    <row r="24" spans="1:3" x14ac:dyDescent="0.25">
      <c r="A24" s="11" t="s">
        <v>55</v>
      </c>
      <c r="B24" s="26">
        <v>1</v>
      </c>
      <c r="C24" s="26">
        <v>5000000</v>
      </c>
    </row>
    <row r="25" spans="1:3" x14ac:dyDescent="0.25">
      <c r="A25" s="11" t="s">
        <v>64</v>
      </c>
      <c r="B25" s="26">
        <v>1</v>
      </c>
      <c r="C25" s="26">
        <v>3500000</v>
      </c>
    </row>
    <row r="26" spans="1:3" x14ac:dyDescent="0.25">
      <c r="A26" s="11" t="s">
        <v>164</v>
      </c>
      <c r="B26" s="26">
        <v>1</v>
      </c>
      <c r="C26" s="26">
        <v>10000000</v>
      </c>
    </row>
    <row r="27" spans="1:3" x14ac:dyDescent="0.25">
      <c r="A27" s="11" t="s">
        <v>53</v>
      </c>
      <c r="B27" s="26">
        <v>1</v>
      </c>
      <c r="C27" s="26">
        <v>3500000</v>
      </c>
    </row>
    <row r="28" spans="1:3" x14ac:dyDescent="0.25">
      <c r="A28" s="11" t="s">
        <v>51</v>
      </c>
      <c r="B28" s="26">
        <v>1</v>
      </c>
      <c r="C28" s="26">
        <v>3500000</v>
      </c>
    </row>
    <row r="29" spans="1:3" x14ac:dyDescent="0.25">
      <c r="A29" s="11" t="s">
        <v>63</v>
      </c>
      <c r="B29" s="26">
        <v>1</v>
      </c>
      <c r="C29" s="26">
        <v>10000000</v>
      </c>
    </row>
    <row r="30" spans="1:3" x14ac:dyDescent="0.25">
      <c r="A30" s="11" t="s">
        <v>58</v>
      </c>
      <c r="B30" s="26">
        <v>1</v>
      </c>
      <c r="C30" s="26">
        <v>2000000</v>
      </c>
    </row>
    <row r="31" spans="1:3" x14ac:dyDescent="0.25">
      <c r="A31" s="11" t="s">
        <v>201</v>
      </c>
      <c r="B31" s="26">
        <v>24</v>
      </c>
      <c r="C31" s="26">
        <v>225100000</v>
      </c>
    </row>
  </sheetData>
  <mergeCells count="1">
    <mergeCell ref="A3:C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75B64-5AC3-4445-916D-8B2CECE12938}">
  <dimension ref="A5:M125"/>
  <sheetViews>
    <sheetView zoomScale="79" workbookViewId="0">
      <selection activeCell="I4" sqref="I4"/>
    </sheetView>
  </sheetViews>
  <sheetFormatPr defaultRowHeight="12" x14ac:dyDescent="0.25"/>
  <cols>
    <col min="1" max="1" width="45.7109375" bestFit="1" customWidth="1"/>
    <col min="2" max="2" width="25.42578125" bestFit="1" customWidth="1"/>
    <col min="3" max="3" width="29.140625" bestFit="1" customWidth="1"/>
    <col min="5" max="5" width="25.28515625" bestFit="1" customWidth="1"/>
    <col min="6" max="6" width="18.85546875" bestFit="1" customWidth="1"/>
  </cols>
  <sheetData>
    <row r="5" spans="1:6" x14ac:dyDescent="0.25">
      <c r="A5" s="25" t="s">
        <v>200</v>
      </c>
      <c r="B5" t="s">
        <v>232</v>
      </c>
      <c r="C5" t="s">
        <v>207</v>
      </c>
      <c r="E5" s="52" t="s">
        <v>236</v>
      </c>
      <c r="F5" s="52"/>
    </row>
    <row r="6" spans="1:6" x14ac:dyDescent="0.25">
      <c r="A6" s="11" t="s">
        <v>142</v>
      </c>
      <c r="B6" s="26">
        <v>40</v>
      </c>
      <c r="C6" s="26">
        <v>5000000</v>
      </c>
    </row>
    <row r="7" spans="1:6" ht="18" x14ac:dyDescent="0.35">
      <c r="A7" s="11" t="s">
        <v>118</v>
      </c>
      <c r="B7" s="26">
        <v>0</v>
      </c>
      <c r="C7" s="26">
        <v>10000000</v>
      </c>
      <c r="E7" s="40" t="s">
        <v>233</v>
      </c>
      <c r="F7" s="41">
        <f>CORREL(C6:C124,B6:B124)</f>
        <v>4.3789646198615521E-2</v>
      </c>
    </row>
    <row r="8" spans="1:6" x14ac:dyDescent="0.25">
      <c r="A8" s="11" t="s">
        <v>104</v>
      </c>
      <c r="B8" s="26">
        <v>0</v>
      </c>
      <c r="C8" s="26">
        <v>2000000</v>
      </c>
    </row>
    <row r="9" spans="1:6" x14ac:dyDescent="0.25">
      <c r="A9" s="11" t="s">
        <v>145</v>
      </c>
      <c r="B9" s="26">
        <v>0</v>
      </c>
      <c r="C9" s="26">
        <v>1800000</v>
      </c>
    </row>
    <row r="10" spans="1:6" x14ac:dyDescent="0.25">
      <c r="A10" s="11" t="s">
        <v>91</v>
      </c>
      <c r="B10" s="26">
        <v>0</v>
      </c>
      <c r="C10" s="26">
        <v>1000000</v>
      </c>
    </row>
    <row r="11" spans="1:6" x14ac:dyDescent="0.25">
      <c r="A11" s="11" t="s">
        <v>141</v>
      </c>
      <c r="B11" s="26">
        <v>0</v>
      </c>
      <c r="C11" s="26">
        <v>2000000</v>
      </c>
    </row>
    <row r="12" spans="1:6" x14ac:dyDescent="0.25">
      <c r="A12" s="11" t="s">
        <v>75</v>
      </c>
      <c r="B12" s="26">
        <v>10</v>
      </c>
      <c r="C12" s="26">
        <v>1000000</v>
      </c>
    </row>
    <row r="13" spans="1:6" x14ac:dyDescent="0.25">
      <c r="A13" s="11" t="s">
        <v>140</v>
      </c>
      <c r="B13" s="26">
        <v>5</v>
      </c>
      <c r="C13" s="26">
        <v>5000000</v>
      </c>
    </row>
    <row r="14" spans="1:6" x14ac:dyDescent="0.25">
      <c r="A14" s="11" t="s">
        <v>76</v>
      </c>
      <c r="B14" s="26">
        <v>50</v>
      </c>
      <c r="C14" s="26">
        <v>1600000</v>
      </c>
    </row>
    <row r="15" spans="1:6" x14ac:dyDescent="0.25">
      <c r="A15" s="11" t="s">
        <v>83</v>
      </c>
      <c r="B15" s="26">
        <v>30</v>
      </c>
      <c r="C15" s="26">
        <v>10000000</v>
      </c>
    </row>
    <row r="16" spans="1:6" x14ac:dyDescent="0.25">
      <c r="A16" s="11" t="s">
        <v>196</v>
      </c>
      <c r="B16" s="26">
        <v>30</v>
      </c>
      <c r="C16" s="26">
        <v>500000</v>
      </c>
    </row>
    <row r="17" spans="1:13" x14ac:dyDescent="0.25">
      <c r="A17" s="11" t="s">
        <v>52</v>
      </c>
      <c r="B17" s="26">
        <v>0</v>
      </c>
      <c r="C17" s="26">
        <v>10000000</v>
      </c>
    </row>
    <row r="18" spans="1:13" x14ac:dyDescent="0.25">
      <c r="A18" s="11" t="s">
        <v>80</v>
      </c>
      <c r="B18" s="26">
        <v>100</v>
      </c>
      <c r="C18" s="26">
        <v>5000000</v>
      </c>
    </row>
    <row r="19" spans="1:13" x14ac:dyDescent="0.25">
      <c r="A19" s="11" t="s">
        <v>82</v>
      </c>
      <c r="B19" s="26">
        <v>12000</v>
      </c>
      <c r="C19" s="26">
        <v>2000000</v>
      </c>
    </row>
    <row r="20" spans="1:13" x14ac:dyDescent="0.25">
      <c r="A20" s="11" t="s">
        <v>60</v>
      </c>
      <c r="B20" s="26">
        <v>0</v>
      </c>
      <c r="C20" s="26">
        <v>1800000</v>
      </c>
    </row>
    <row r="21" spans="1:13" x14ac:dyDescent="0.25">
      <c r="A21" s="11" t="s">
        <v>54</v>
      </c>
      <c r="B21" s="26">
        <v>0</v>
      </c>
      <c r="C21" s="26">
        <v>5000000</v>
      </c>
    </row>
    <row r="22" spans="1:13" x14ac:dyDescent="0.25">
      <c r="A22" s="11" t="s">
        <v>159</v>
      </c>
      <c r="B22" s="26">
        <v>0</v>
      </c>
      <c r="C22" s="26">
        <v>1500000</v>
      </c>
    </row>
    <row r="23" spans="1:13" x14ac:dyDescent="0.25">
      <c r="A23" s="11" t="s">
        <v>88</v>
      </c>
      <c r="B23" s="26">
        <v>0</v>
      </c>
      <c r="C23" s="26">
        <v>1000000</v>
      </c>
    </row>
    <row r="24" spans="1:13" x14ac:dyDescent="0.25">
      <c r="A24" s="11" t="s">
        <v>70</v>
      </c>
      <c r="B24" s="26">
        <v>0</v>
      </c>
      <c r="C24" s="26">
        <v>2500000</v>
      </c>
    </row>
    <row r="25" spans="1:13" x14ac:dyDescent="0.25">
      <c r="A25" s="11" t="s">
        <v>113</v>
      </c>
      <c r="B25" s="26">
        <v>0</v>
      </c>
      <c r="C25" s="26">
        <v>2000000</v>
      </c>
    </row>
    <row r="26" spans="1:13" x14ac:dyDescent="0.25">
      <c r="A26" s="11" t="s">
        <v>95</v>
      </c>
      <c r="B26" s="26">
        <v>50</v>
      </c>
      <c r="C26" s="26">
        <v>10000000</v>
      </c>
    </row>
    <row r="27" spans="1:13" x14ac:dyDescent="0.25">
      <c r="A27" s="11" t="s">
        <v>103</v>
      </c>
      <c r="B27" s="26">
        <v>50</v>
      </c>
      <c r="C27" s="26">
        <v>4000000</v>
      </c>
    </row>
    <row r="28" spans="1:13" x14ac:dyDescent="0.25">
      <c r="A28" s="11" t="s">
        <v>65</v>
      </c>
      <c r="B28" s="26">
        <v>15</v>
      </c>
      <c r="C28" s="26">
        <v>2000000</v>
      </c>
    </row>
    <row r="29" spans="1:13" x14ac:dyDescent="0.25">
      <c r="A29" s="11" t="s">
        <v>137</v>
      </c>
      <c r="B29" s="26">
        <v>0</v>
      </c>
      <c r="C29" s="26">
        <v>10000000</v>
      </c>
      <c r="E29" s="42" t="s">
        <v>235</v>
      </c>
    </row>
    <row r="30" spans="1:13" x14ac:dyDescent="0.25">
      <c r="A30" s="11" t="s">
        <v>168</v>
      </c>
      <c r="B30" s="26">
        <v>80</v>
      </c>
      <c r="C30" s="26">
        <v>30000000</v>
      </c>
      <c r="E30" s="51" t="s">
        <v>234</v>
      </c>
      <c r="F30" s="51"/>
      <c r="G30" s="51"/>
      <c r="H30" s="51"/>
      <c r="I30" s="51"/>
      <c r="J30" s="51"/>
      <c r="K30" s="51"/>
      <c r="L30" s="51"/>
      <c r="M30" s="51"/>
    </row>
    <row r="31" spans="1:13" x14ac:dyDescent="0.25">
      <c r="A31" s="11" t="s">
        <v>97</v>
      </c>
      <c r="B31" s="26">
        <v>0</v>
      </c>
      <c r="C31" s="26">
        <v>2500000</v>
      </c>
      <c r="E31" s="51"/>
      <c r="F31" s="51"/>
      <c r="G31" s="51"/>
      <c r="H31" s="51"/>
      <c r="I31" s="51"/>
      <c r="J31" s="51"/>
      <c r="K31" s="51"/>
      <c r="L31" s="51"/>
      <c r="M31" s="51"/>
    </row>
    <row r="32" spans="1:13" x14ac:dyDescent="0.25">
      <c r="A32" s="11" t="s">
        <v>177</v>
      </c>
      <c r="B32" s="26">
        <v>0</v>
      </c>
      <c r="C32" s="26">
        <v>1000000</v>
      </c>
      <c r="E32" s="51"/>
      <c r="F32" s="51"/>
      <c r="G32" s="51"/>
      <c r="H32" s="51"/>
      <c r="I32" s="51"/>
      <c r="J32" s="51"/>
      <c r="K32" s="51"/>
      <c r="L32" s="51"/>
      <c r="M32" s="51"/>
    </row>
    <row r="33" spans="1:3" x14ac:dyDescent="0.25">
      <c r="A33" s="11" t="s">
        <v>169</v>
      </c>
      <c r="B33" s="26">
        <v>25</v>
      </c>
      <c r="C33" s="26">
        <v>2000000</v>
      </c>
    </row>
    <row r="34" spans="1:3" x14ac:dyDescent="0.25">
      <c r="A34" s="11" t="s">
        <v>188</v>
      </c>
      <c r="B34" s="26">
        <v>20</v>
      </c>
      <c r="C34" s="26">
        <v>30000000</v>
      </c>
    </row>
    <row r="35" spans="1:3" x14ac:dyDescent="0.25">
      <c r="A35" s="11" t="s">
        <v>138</v>
      </c>
      <c r="B35" s="26">
        <v>0</v>
      </c>
      <c r="C35" s="26">
        <v>30000000</v>
      </c>
    </row>
    <row r="36" spans="1:3" x14ac:dyDescent="0.25">
      <c r="A36" s="11" t="s">
        <v>99</v>
      </c>
      <c r="B36" s="26">
        <v>0</v>
      </c>
      <c r="C36" s="26">
        <v>2500000</v>
      </c>
    </row>
    <row r="37" spans="1:3" x14ac:dyDescent="0.25">
      <c r="A37" s="11" t="s">
        <v>143</v>
      </c>
      <c r="B37" s="26">
        <v>0</v>
      </c>
      <c r="C37" s="26">
        <v>5000000</v>
      </c>
    </row>
    <row r="38" spans="1:3" x14ac:dyDescent="0.25">
      <c r="A38" s="11" t="s">
        <v>117</v>
      </c>
      <c r="B38" s="26">
        <v>0</v>
      </c>
      <c r="C38" s="26">
        <v>1000000</v>
      </c>
    </row>
    <row r="39" spans="1:3" x14ac:dyDescent="0.25">
      <c r="A39" s="11" t="s">
        <v>50</v>
      </c>
      <c r="B39" s="26">
        <v>20</v>
      </c>
      <c r="C39" s="26">
        <v>50000</v>
      </c>
    </row>
    <row r="40" spans="1:3" x14ac:dyDescent="0.25">
      <c r="A40" s="11" t="s">
        <v>171</v>
      </c>
      <c r="B40" s="26">
        <v>300</v>
      </c>
      <c r="C40" s="26">
        <v>1000000</v>
      </c>
    </row>
    <row r="41" spans="1:3" x14ac:dyDescent="0.25">
      <c r="A41" s="11" t="s">
        <v>47</v>
      </c>
      <c r="B41" s="26">
        <v>0</v>
      </c>
      <c r="C41" s="26">
        <v>1000000</v>
      </c>
    </row>
    <row r="42" spans="1:3" x14ac:dyDescent="0.25">
      <c r="A42" s="11" t="s">
        <v>46</v>
      </c>
      <c r="B42" s="26">
        <v>0</v>
      </c>
      <c r="C42" s="26">
        <v>1800000</v>
      </c>
    </row>
    <row r="43" spans="1:3" x14ac:dyDescent="0.25">
      <c r="A43" s="11" t="s">
        <v>111</v>
      </c>
      <c r="B43" s="26">
        <v>200</v>
      </c>
      <c r="C43" s="26">
        <v>2000000</v>
      </c>
    </row>
    <row r="44" spans="1:3" x14ac:dyDescent="0.25">
      <c r="A44" s="11" t="s">
        <v>61</v>
      </c>
      <c r="B44" s="26">
        <v>40</v>
      </c>
      <c r="C44" s="26">
        <v>7000000</v>
      </c>
    </row>
    <row r="45" spans="1:3" x14ac:dyDescent="0.25">
      <c r="A45" s="11" t="s">
        <v>124</v>
      </c>
      <c r="B45" s="26">
        <v>0</v>
      </c>
      <c r="C45" s="26">
        <v>2000000</v>
      </c>
    </row>
    <row r="46" spans="1:3" x14ac:dyDescent="0.25">
      <c r="A46" s="11" t="s">
        <v>110</v>
      </c>
      <c r="B46" s="26">
        <v>0</v>
      </c>
      <c r="C46" s="26">
        <v>2000000</v>
      </c>
    </row>
    <row r="47" spans="1:3" x14ac:dyDescent="0.25">
      <c r="A47" s="11" t="s">
        <v>131</v>
      </c>
      <c r="B47" s="26">
        <v>50</v>
      </c>
      <c r="C47" s="26">
        <v>2000000</v>
      </c>
    </row>
    <row r="48" spans="1:3" x14ac:dyDescent="0.25">
      <c r="A48" s="11" t="s">
        <v>133</v>
      </c>
      <c r="B48" s="26">
        <v>30</v>
      </c>
      <c r="C48" s="26">
        <v>2000000</v>
      </c>
    </row>
    <row r="49" spans="1:3" x14ac:dyDescent="0.25">
      <c r="A49" s="11" t="s">
        <v>121</v>
      </c>
      <c r="B49" s="26">
        <v>20</v>
      </c>
      <c r="C49" s="26">
        <v>2500000</v>
      </c>
    </row>
    <row r="50" spans="1:3" x14ac:dyDescent="0.25">
      <c r="A50" s="11" t="s">
        <v>166</v>
      </c>
      <c r="B50" s="26">
        <v>50</v>
      </c>
      <c r="C50" s="26">
        <v>4000000</v>
      </c>
    </row>
    <row r="51" spans="1:3" x14ac:dyDescent="0.25">
      <c r="A51" s="11" t="s">
        <v>71</v>
      </c>
      <c r="B51" s="26">
        <v>100</v>
      </c>
      <c r="C51" s="26">
        <v>3000000</v>
      </c>
    </row>
    <row r="52" spans="1:3" x14ac:dyDescent="0.25">
      <c r="A52" s="11" t="s">
        <v>155</v>
      </c>
      <c r="B52" s="26">
        <v>40</v>
      </c>
      <c r="C52" s="26">
        <v>2000000</v>
      </c>
    </row>
    <row r="53" spans="1:3" x14ac:dyDescent="0.25">
      <c r="A53" s="11" t="s">
        <v>107</v>
      </c>
      <c r="B53" s="26">
        <v>20</v>
      </c>
      <c r="C53" s="26">
        <v>1000000</v>
      </c>
    </row>
    <row r="54" spans="1:3" x14ac:dyDescent="0.25">
      <c r="A54" s="11" t="s">
        <v>185</v>
      </c>
      <c r="B54" s="26">
        <v>230</v>
      </c>
      <c r="C54" s="26">
        <v>2000000</v>
      </c>
    </row>
    <row r="55" spans="1:3" x14ac:dyDescent="0.25">
      <c r="A55" s="11" t="s">
        <v>182</v>
      </c>
      <c r="B55" s="26">
        <v>20</v>
      </c>
      <c r="C55" s="26">
        <v>5000000</v>
      </c>
    </row>
    <row r="56" spans="1:3" x14ac:dyDescent="0.25">
      <c r="A56" s="11" t="s">
        <v>106</v>
      </c>
      <c r="B56" s="26">
        <v>20</v>
      </c>
      <c r="C56" s="26">
        <v>2500000</v>
      </c>
    </row>
    <row r="57" spans="1:3" x14ac:dyDescent="0.25">
      <c r="A57" s="11" t="s">
        <v>94</v>
      </c>
      <c r="B57" s="26">
        <v>0</v>
      </c>
      <c r="C57" s="26">
        <v>1800000</v>
      </c>
    </row>
    <row r="58" spans="1:3" x14ac:dyDescent="0.25">
      <c r="A58" s="11" t="s">
        <v>114</v>
      </c>
      <c r="B58" s="26">
        <v>0</v>
      </c>
      <c r="C58" s="26">
        <v>4000000</v>
      </c>
    </row>
    <row r="59" spans="1:3" x14ac:dyDescent="0.25">
      <c r="A59" s="11" t="s">
        <v>192</v>
      </c>
      <c r="B59" s="26">
        <v>0</v>
      </c>
      <c r="C59" s="26">
        <v>1200000</v>
      </c>
    </row>
    <row r="60" spans="1:3" x14ac:dyDescent="0.25">
      <c r="A60" s="11" t="s">
        <v>23</v>
      </c>
      <c r="B60" s="26">
        <v>0</v>
      </c>
      <c r="C60" s="26">
        <v>50000000</v>
      </c>
    </row>
    <row r="61" spans="1:3" x14ac:dyDescent="0.25">
      <c r="A61" s="11" t="s">
        <v>67</v>
      </c>
      <c r="B61" s="26">
        <v>15</v>
      </c>
      <c r="C61" s="26">
        <v>80000</v>
      </c>
    </row>
    <row r="62" spans="1:3" x14ac:dyDescent="0.25">
      <c r="A62" s="11" t="s">
        <v>68</v>
      </c>
      <c r="B62" s="26">
        <v>20</v>
      </c>
      <c r="C62" s="26">
        <v>5000000</v>
      </c>
    </row>
    <row r="63" spans="1:3" x14ac:dyDescent="0.25">
      <c r="A63" s="11" t="s">
        <v>148</v>
      </c>
      <c r="B63" s="26">
        <v>40000</v>
      </c>
      <c r="C63" s="26">
        <v>10000000</v>
      </c>
    </row>
    <row r="64" spans="1:3" x14ac:dyDescent="0.25">
      <c r="A64" s="11" t="s">
        <v>176</v>
      </c>
      <c r="B64" s="26">
        <v>0</v>
      </c>
      <c r="C64" s="26">
        <v>2000000</v>
      </c>
    </row>
    <row r="65" spans="1:3" x14ac:dyDescent="0.25">
      <c r="A65" s="11" t="s">
        <v>116</v>
      </c>
      <c r="B65" s="26">
        <v>150</v>
      </c>
      <c r="C65" s="26">
        <v>1800000</v>
      </c>
    </row>
    <row r="66" spans="1:3" x14ac:dyDescent="0.25">
      <c r="A66" s="11" t="s">
        <v>72</v>
      </c>
      <c r="B66" s="26">
        <v>20</v>
      </c>
      <c r="C66" s="26">
        <v>3000000</v>
      </c>
    </row>
    <row r="67" spans="1:3" x14ac:dyDescent="0.25">
      <c r="A67" s="11" t="s">
        <v>157</v>
      </c>
      <c r="B67" s="26">
        <v>50</v>
      </c>
      <c r="C67" s="26">
        <v>5000000</v>
      </c>
    </row>
    <row r="68" spans="1:3" x14ac:dyDescent="0.25">
      <c r="A68" s="11" t="s">
        <v>78</v>
      </c>
      <c r="B68" s="26">
        <v>50</v>
      </c>
      <c r="C68" s="26">
        <v>5000000</v>
      </c>
    </row>
    <row r="69" spans="1:3" x14ac:dyDescent="0.25">
      <c r="A69" s="11" t="s">
        <v>22</v>
      </c>
      <c r="B69" s="26">
        <v>30</v>
      </c>
      <c r="C69" s="26">
        <v>10000000</v>
      </c>
    </row>
    <row r="70" spans="1:3" x14ac:dyDescent="0.25">
      <c r="A70" s="11" t="s">
        <v>174</v>
      </c>
      <c r="B70" s="26">
        <v>20</v>
      </c>
      <c r="C70" s="26">
        <v>1500000</v>
      </c>
    </row>
    <row r="71" spans="1:3" x14ac:dyDescent="0.25">
      <c r="A71" s="11" t="s">
        <v>69</v>
      </c>
      <c r="B71" s="26">
        <v>0</v>
      </c>
      <c r="C71" s="26">
        <v>2000000</v>
      </c>
    </row>
    <row r="72" spans="1:3" x14ac:dyDescent="0.25">
      <c r="A72" s="11" t="s">
        <v>120</v>
      </c>
      <c r="B72" s="26">
        <v>0</v>
      </c>
      <c r="C72" s="26">
        <v>10000000</v>
      </c>
    </row>
    <row r="73" spans="1:3" x14ac:dyDescent="0.25">
      <c r="A73" s="11" t="s">
        <v>127</v>
      </c>
      <c r="B73" s="26">
        <v>0</v>
      </c>
      <c r="C73" s="26">
        <v>10000000</v>
      </c>
    </row>
    <row r="74" spans="1:3" x14ac:dyDescent="0.25">
      <c r="A74" s="11" t="s">
        <v>98</v>
      </c>
      <c r="B74" s="26">
        <v>50</v>
      </c>
      <c r="C74" s="26">
        <v>2000000</v>
      </c>
    </row>
    <row r="75" spans="1:3" x14ac:dyDescent="0.25">
      <c r="A75" s="11" t="s">
        <v>55</v>
      </c>
      <c r="B75" s="26">
        <v>0</v>
      </c>
      <c r="C75" s="26">
        <v>2000000</v>
      </c>
    </row>
    <row r="76" spans="1:3" x14ac:dyDescent="0.25">
      <c r="A76" s="11" t="s">
        <v>122</v>
      </c>
      <c r="B76" s="26">
        <v>0</v>
      </c>
      <c r="C76" s="26">
        <v>2000000</v>
      </c>
    </row>
    <row r="77" spans="1:3" x14ac:dyDescent="0.25">
      <c r="A77" s="11" t="s">
        <v>115</v>
      </c>
      <c r="B77" s="26">
        <v>0</v>
      </c>
      <c r="C77" s="26">
        <v>1600000</v>
      </c>
    </row>
    <row r="78" spans="1:3" x14ac:dyDescent="0.25">
      <c r="A78" s="11" t="s">
        <v>86</v>
      </c>
      <c r="B78" s="26">
        <v>15</v>
      </c>
      <c r="C78" s="26">
        <v>2000000</v>
      </c>
    </row>
    <row r="79" spans="1:3" x14ac:dyDescent="0.25">
      <c r="A79" s="11" t="s">
        <v>102</v>
      </c>
      <c r="B79" s="26">
        <v>0</v>
      </c>
      <c r="C79" s="26">
        <v>4000000</v>
      </c>
    </row>
    <row r="80" spans="1:3" x14ac:dyDescent="0.25">
      <c r="A80" s="11" t="s">
        <v>64</v>
      </c>
      <c r="B80" s="26">
        <v>0</v>
      </c>
      <c r="C80" s="26">
        <v>1500000</v>
      </c>
    </row>
    <row r="81" spans="1:3" x14ac:dyDescent="0.25">
      <c r="A81" s="11" t="s">
        <v>151</v>
      </c>
      <c r="B81" s="26">
        <v>100</v>
      </c>
      <c r="C81" s="26">
        <v>30000000</v>
      </c>
    </row>
    <row r="82" spans="1:3" x14ac:dyDescent="0.25">
      <c r="A82" s="11" t="s">
        <v>139</v>
      </c>
      <c r="B82" s="26">
        <v>0</v>
      </c>
      <c r="C82" s="26">
        <v>5000000</v>
      </c>
    </row>
    <row r="83" spans="1:3" x14ac:dyDescent="0.25">
      <c r="A83" s="11" t="s">
        <v>135</v>
      </c>
      <c r="B83" s="26">
        <v>0</v>
      </c>
      <c r="C83" s="26">
        <v>5000000</v>
      </c>
    </row>
    <row r="84" spans="1:3" x14ac:dyDescent="0.25">
      <c r="A84" s="11" t="s">
        <v>150</v>
      </c>
      <c r="B84" s="26">
        <v>50</v>
      </c>
      <c r="C84" s="26">
        <v>30000000</v>
      </c>
    </row>
    <row r="85" spans="1:3" x14ac:dyDescent="0.25">
      <c r="A85" s="11" t="s">
        <v>125</v>
      </c>
      <c r="B85" s="26">
        <v>0</v>
      </c>
      <c r="C85" s="26">
        <v>2000000</v>
      </c>
    </row>
    <row r="86" spans="1:3" x14ac:dyDescent="0.25">
      <c r="A86" s="11" t="s">
        <v>96</v>
      </c>
      <c r="B86" s="26">
        <v>50</v>
      </c>
      <c r="C86" s="26">
        <v>10000000</v>
      </c>
    </row>
    <row r="87" spans="1:3" x14ac:dyDescent="0.25">
      <c r="A87" s="11" t="s">
        <v>92</v>
      </c>
      <c r="B87" s="26">
        <v>50</v>
      </c>
      <c r="C87" s="26">
        <v>1500000</v>
      </c>
    </row>
    <row r="88" spans="1:3" x14ac:dyDescent="0.25">
      <c r="A88" s="11" t="s">
        <v>81</v>
      </c>
      <c r="B88" s="26">
        <v>200</v>
      </c>
      <c r="C88" s="26">
        <v>50000</v>
      </c>
    </row>
    <row r="89" spans="1:3" x14ac:dyDescent="0.25">
      <c r="A89" s="11" t="s">
        <v>175</v>
      </c>
      <c r="B89" s="26">
        <v>20</v>
      </c>
      <c r="C89" s="26">
        <v>2500000</v>
      </c>
    </row>
    <row r="90" spans="1:3" x14ac:dyDescent="0.25">
      <c r="A90" s="11" t="s">
        <v>123</v>
      </c>
      <c r="B90" s="26">
        <v>0</v>
      </c>
      <c r="C90" s="26">
        <v>2500000</v>
      </c>
    </row>
    <row r="91" spans="1:3" x14ac:dyDescent="0.25">
      <c r="A91" s="11" t="s">
        <v>112</v>
      </c>
      <c r="B91" s="26">
        <v>30</v>
      </c>
      <c r="C91" s="26">
        <v>2000000</v>
      </c>
    </row>
    <row r="92" spans="1:3" x14ac:dyDescent="0.25">
      <c r="A92" s="11" t="s">
        <v>90</v>
      </c>
      <c r="B92" s="26">
        <v>20</v>
      </c>
      <c r="C92" s="26">
        <v>5000000</v>
      </c>
    </row>
    <row r="93" spans="1:3" x14ac:dyDescent="0.25">
      <c r="A93" s="11" t="s">
        <v>190</v>
      </c>
      <c r="B93" s="26">
        <v>15</v>
      </c>
      <c r="C93" s="26">
        <v>1800000</v>
      </c>
    </row>
    <row r="94" spans="1:3" x14ac:dyDescent="0.25">
      <c r="A94" s="11" t="s">
        <v>108</v>
      </c>
      <c r="B94" s="26">
        <v>0</v>
      </c>
      <c r="C94" s="26">
        <v>1500000</v>
      </c>
    </row>
    <row r="95" spans="1:3" x14ac:dyDescent="0.25">
      <c r="A95" s="11" t="s">
        <v>130</v>
      </c>
      <c r="B95" s="26">
        <v>0</v>
      </c>
      <c r="C95" s="26">
        <v>5000000</v>
      </c>
    </row>
    <row r="96" spans="1:3" x14ac:dyDescent="0.25">
      <c r="A96" s="11" t="s">
        <v>85</v>
      </c>
      <c r="B96" s="26">
        <v>0</v>
      </c>
      <c r="C96" s="26">
        <v>1000000</v>
      </c>
    </row>
    <row r="97" spans="1:3" x14ac:dyDescent="0.25">
      <c r="A97" s="11" t="s">
        <v>74</v>
      </c>
      <c r="B97" s="26">
        <v>0</v>
      </c>
      <c r="C97" s="26">
        <v>1800000</v>
      </c>
    </row>
    <row r="98" spans="1:3" x14ac:dyDescent="0.25">
      <c r="A98" s="11" t="s">
        <v>154</v>
      </c>
      <c r="B98" s="26">
        <v>50</v>
      </c>
      <c r="C98" s="26">
        <v>10000000</v>
      </c>
    </row>
    <row r="99" spans="1:3" x14ac:dyDescent="0.25">
      <c r="A99" s="11" t="s">
        <v>126</v>
      </c>
      <c r="B99" s="26">
        <v>0</v>
      </c>
      <c r="C99" s="26">
        <v>4000000</v>
      </c>
    </row>
    <row r="100" spans="1:3" x14ac:dyDescent="0.25">
      <c r="A100" s="11" t="s">
        <v>164</v>
      </c>
      <c r="B100" s="26">
        <v>0</v>
      </c>
      <c r="C100" s="26">
        <v>5000000</v>
      </c>
    </row>
    <row r="101" spans="1:3" x14ac:dyDescent="0.25">
      <c r="A101" s="11" t="s">
        <v>189</v>
      </c>
      <c r="B101" s="26">
        <v>0</v>
      </c>
      <c r="C101" s="26">
        <v>3000000</v>
      </c>
    </row>
    <row r="102" spans="1:3" x14ac:dyDescent="0.25">
      <c r="A102" s="11" t="s">
        <v>144</v>
      </c>
      <c r="B102" s="26">
        <v>10</v>
      </c>
      <c r="C102" s="26">
        <v>5000000</v>
      </c>
    </row>
    <row r="103" spans="1:3" x14ac:dyDescent="0.25">
      <c r="A103" s="11" t="s">
        <v>100</v>
      </c>
      <c r="B103" s="26">
        <v>0</v>
      </c>
      <c r="C103" s="26">
        <v>2000000</v>
      </c>
    </row>
    <row r="104" spans="1:3" x14ac:dyDescent="0.25">
      <c r="A104" s="11" t="s">
        <v>165</v>
      </c>
      <c r="B104" s="26">
        <v>100</v>
      </c>
      <c r="C104" s="26">
        <v>20000000</v>
      </c>
    </row>
    <row r="105" spans="1:3" x14ac:dyDescent="0.25">
      <c r="A105" s="11" t="s">
        <v>24</v>
      </c>
      <c r="B105" s="26">
        <v>0</v>
      </c>
      <c r="C105" s="26">
        <v>10000000</v>
      </c>
    </row>
    <row r="106" spans="1:3" x14ac:dyDescent="0.25">
      <c r="A106" s="11" t="s">
        <v>194</v>
      </c>
      <c r="B106" s="26">
        <v>25</v>
      </c>
      <c r="C106" s="26">
        <v>5000000</v>
      </c>
    </row>
    <row r="107" spans="1:3" x14ac:dyDescent="0.25">
      <c r="A107" s="11" t="s">
        <v>187</v>
      </c>
      <c r="B107" s="26">
        <v>10</v>
      </c>
      <c r="C107" s="26">
        <v>10000000</v>
      </c>
    </row>
    <row r="108" spans="1:3" x14ac:dyDescent="0.25">
      <c r="A108" s="11" t="s">
        <v>53</v>
      </c>
      <c r="B108" s="26">
        <v>0</v>
      </c>
      <c r="C108" s="26">
        <v>2000000</v>
      </c>
    </row>
    <row r="109" spans="1:3" x14ac:dyDescent="0.25">
      <c r="A109" s="11" t="s">
        <v>51</v>
      </c>
      <c r="B109" s="26">
        <v>0</v>
      </c>
      <c r="C109" s="26">
        <v>2000000</v>
      </c>
    </row>
    <row r="110" spans="1:3" x14ac:dyDescent="0.25">
      <c r="A110" s="11" t="s">
        <v>84</v>
      </c>
      <c r="B110" s="26">
        <v>15</v>
      </c>
      <c r="C110" s="26">
        <v>5000000</v>
      </c>
    </row>
    <row r="111" spans="1:3" x14ac:dyDescent="0.25">
      <c r="A111" s="11" t="s">
        <v>109</v>
      </c>
      <c r="B111" s="26">
        <v>20</v>
      </c>
      <c r="C111" s="26">
        <v>5000000</v>
      </c>
    </row>
    <row r="112" spans="1:3" x14ac:dyDescent="0.25">
      <c r="A112" s="11" t="s">
        <v>63</v>
      </c>
      <c r="B112" s="26">
        <v>0</v>
      </c>
      <c r="C112" s="26">
        <v>5000000</v>
      </c>
    </row>
    <row r="113" spans="1:3" x14ac:dyDescent="0.25">
      <c r="A113" s="11" t="s">
        <v>146</v>
      </c>
      <c r="B113" s="26">
        <v>15</v>
      </c>
      <c r="C113" s="26">
        <v>1000000</v>
      </c>
    </row>
    <row r="114" spans="1:3" x14ac:dyDescent="0.25">
      <c r="A114" s="11" t="s">
        <v>73</v>
      </c>
      <c r="B114" s="26">
        <v>0</v>
      </c>
      <c r="C114" s="26">
        <v>3000000</v>
      </c>
    </row>
    <row r="115" spans="1:3" x14ac:dyDescent="0.25">
      <c r="A115" s="11" t="s">
        <v>79</v>
      </c>
      <c r="B115" s="26">
        <v>0</v>
      </c>
      <c r="C115" s="26">
        <v>5000000</v>
      </c>
    </row>
    <row r="116" spans="1:3" x14ac:dyDescent="0.25">
      <c r="A116" s="11" t="s">
        <v>128</v>
      </c>
      <c r="B116" s="26">
        <v>0</v>
      </c>
      <c r="C116" s="26">
        <v>2500000</v>
      </c>
    </row>
    <row r="117" spans="1:3" x14ac:dyDescent="0.25">
      <c r="A117" s="11" t="s">
        <v>156</v>
      </c>
      <c r="B117" s="26">
        <v>30</v>
      </c>
      <c r="C117" s="26">
        <v>20000000</v>
      </c>
    </row>
    <row r="118" spans="1:3" x14ac:dyDescent="0.25">
      <c r="A118" s="11" t="s">
        <v>161</v>
      </c>
      <c r="B118" s="26">
        <v>50</v>
      </c>
      <c r="C118" s="26">
        <v>5000000</v>
      </c>
    </row>
    <row r="119" spans="1:3" x14ac:dyDescent="0.25">
      <c r="A119" s="11" t="s">
        <v>58</v>
      </c>
      <c r="B119" s="26">
        <v>0</v>
      </c>
      <c r="C119" s="26">
        <v>1800000</v>
      </c>
    </row>
    <row r="120" spans="1:3" x14ac:dyDescent="0.25">
      <c r="A120" s="11" t="s">
        <v>153</v>
      </c>
      <c r="B120" s="26">
        <v>0</v>
      </c>
      <c r="C120" s="26">
        <v>3000000</v>
      </c>
    </row>
    <row r="121" spans="1:3" x14ac:dyDescent="0.25">
      <c r="A121" s="11" t="s">
        <v>160</v>
      </c>
      <c r="B121" s="26">
        <v>20</v>
      </c>
      <c r="C121" s="26">
        <v>5000000</v>
      </c>
    </row>
    <row r="122" spans="1:3" x14ac:dyDescent="0.25">
      <c r="A122" s="11" t="s">
        <v>173</v>
      </c>
      <c r="B122" s="26">
        <v>20</v>
      </c>
      <c r="C122" s="26">
        <v>1500000</v>
      </c>
    </row>
    <row r="123" spans="1:3" x14ac:dyDescent="0.25">
      <c r="A123" s="11" t="s">
        <v>89</v>
      </c>
      <c r="B123" s="26">
        <v>20</v>
      </c>
      <c r="C123" s="26">
        <v>2500000</v>
      </c>
    </row>
    <row r="124" spans="1:3" x14ac:dyDescent="0.25">
      <c r="A124" s="11" t="s">
        <v>87</v>
      </c>
      <c r="B124" s="26">
        <v>40</v>
      </c>
      <c r="C124" s="26">
        <v>5000000</v>
      </c>
    </row>
    <row r="125" spans="1:3" x14ac:dyDescent="0.25">
      <c r="A125" s="11" t="s">
        <v>201</v>
      </c>
      <c r="B125" s="26">
        <v>55025</v>
      </c>
      <c r="C125" s="26">
        <v>635980000</v>
      </c>
    </row>
  </sheetData>
  <mergeCells count="2">
    <mergeCell ref="E30:M32"/>
    <mergeCell ref="E5:F5"/>
  </mergeCells>
  <pageMargins left="0.7" right="0.7" top="0.75" bottom="0.75" header="0.3" footer="0.3"/>
  <pageSetup orientation="portrait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48083-D668-4CB1-B2CE-A457F6A0878A}">
  <dimension ref="A2:S125"/>
  <sheetViews>
    <sheetView zoomScale="71" zoomScaleNormal="85" workbookViewId="0">
      <selection activeCell="U45" sqref="U45"/>
    </sheetView>
  </sheetViews>
  <sheetFormatPr defaultRowHeight="12" x14ac:dyDescent="0.25"/>
  <cols>
    <col min="7" max="7" width="11.42578125" style="28" bestFit="1" customWidth="1"/>
    <col min="8" max="8" width="10" style="28" bestFit="1" customWidth="1"/>
    <col min="11" max="12" width="12.7109375" style="4" bestFit="1" customWidth="1"/>
    <col min="13" max="13" width="9.140625" style="26"/>
    <col min="15" max="15" width="9.140625" style="18"/>
    <col min="17" max="17" width="19.140625" bestFit="1" customWidth="1"/>
    <col min="18" max="19" width="37.85546875" bestFit="1" customWidth="1"/>
  </cols>
  <sheetData>
    <row r="2" spans="1:18" ht="18" x14ac:dyDescent="0.35">
      <c r="A2" s="53" t="s">
        <v>226</v>
      </c>
      <c r="B2" s="53"/>
      <c r="C2" s="53"/>
      <c r="D2" s="53"/>
      <c r="E2" s="53"/>
      <c r="F2" s="53"/>
      <c r="G2" s="53"/>
      <c r="H2" s="53"/>
      <c r="I2" s="53"/>
      <c r="J2" s="53"/>
      <c r="K2" s="53"/>
    </row>
    <row r="5" spans="1:18" ht="13.2" x14ac:dyDescent="0.25">
      <c r="A5" s="33" t="s">
        <v>11</v>
      </c>
      <c r="B5" s="33" t="s">
        <v>0</v>
      </c>
      <c r="C5" s="33" t="s">
        <v>9</v>
      </c>
      <c r="D5" s="34" t="s">
        <v>1</v>
      </c>
      <c r="E5" s="35" t="s">
        <v>2</v>
      </c>
      <c r="F5" s="35" t="s">
        <v>3</v>
      </c>
      <c r="G5" s="36" t="s">
        <v>4</v>
      </c>
      <c r="H5" s="36" t="s">
        <v>5</v>
      </c>
      <c r="I5" s="35" t="s">
        <v>129</v>
      </c>
      <c r="J5" s="35" t="s">
        <v>7</v>
      </c>
      <c r="K5" s="37" t="s">
        <v>197</v>
      </c>
      <c r="L5" s="37" t="s">
        <v>195</v>
      </c>
      <c r="M5" s="38" t="s">
        <v>8</v>
      </c>
      <c r="N5" s="35" t="s">
        <v>10</v>
      </c>
      <c r="O5" s="37" t="s">
        <v>198</v>
      </c>
    </row>
    <row r="6" spans="1:18" x14ac:dyDescent="0.25">
      <c r="A6" t="s">
        <v>23</v>
      </c>
      <c r="B6" t="s">
        <v>44</v>
      </c>
      <c r="C6" t="s">
        <v>12</v>
      </c>
      <c r="D6" s="22">
        <v>0</v>
      </c>
      <c r="E6" s="9" t="s">
        <v>19</v>
      </c>
      <c r="F6" s="9" t="s">
        <v>19</v>
      </c>
      <c r="G6" s="7">
        <v>0.25</v>
      </c>
      <c r="H6" s="7">
        <v>0.75</v>
      </c>
      <c r="I6" s="9" t="s">
        <v>41</v>
      </c>
      <c r="J6" s="11" t="s">
        <v>33</v>
      </c>
      <c r="K6" s="12">
        <v>100000000</v>
      </c>
      <c r="L6" s="12">
        <v>50000000</v>
      </c>
      <c r="M6" s="29">
        <v>40000</v>
      </c>
      <c r="N6" s="9">
        <v>0</v>
      </c>
      <c r="O6" s="31">
        <f>INT((N6-1)/100)+1</f>
        <v>0</v>
      </c>
    </row>
    <row r="7" spans="1:18" x14ac:dyDescent="0.25">
      <c r="A7" t="s">
        <v>47</v>
      </c>
      <c r="B7" t="s">
        <v>48</v>
      </c>
      <c r="C7" t="s">
        <v>12</v>
      </c>
      <c r="D7" s="22">
        <v>0</v>
      </c>
      <c r="E7" s="9" t="s">
        <v>19</v>
      </c>
      <c r="F7" s="9" t="s">
        <v>20</v>
      </c>
      <c r="G7" s="7">
        <v>0.33333333333333331</v>
      </c>
      <c r="H7" s="7">
        <v>0.70833333333333337</v>
      </c>
      <c r="I7" s="9" t="s">
        <v>38</v>
      </c>
      <c r="J7" s="11" t="s">
        <v>49</v>
      </c>
      <c r="K7" s="12">
        <v>3000000</v>
      </c>
      <c r="L7" s="12">
        <v>1000000</v>
      </c>
      <c r="M7" s="29">
        <v>8000</v>
      </c>
      <c r="N7" s="9">
        <v>1950</v>
      </c>
      <c r="O7" s="31">
        <f t="shared" ref="O7:O70" si="0">INT((N7-1)/100)+1</f>
        <v>20</v>
      </c>
    </row>
    <row r="8" spans="1:18" x14ac:dyDescent="0.25">
      <c r="A8" t="s">
        <v>72</v>
      </c>
      <c r="B8" t="s">
        <v>43</v>
      </c>
      <c r="C8" t="s">
        <v>43</v>
      </c>
      <c r="D8" s="22">
        <v>20</v>
      </c>
      <c r="E8" s="9" t="s">
        <v>19</v>
      </c>
      <c r="F8" s="9" t="s">
        <v>19</v>
      </c>
      <c r="G8" s="7">
        <v>0.41666666666666669</v>
      </c>
      <c r="H8" s="7">
        <v>0.75</v>
      </c>
      <c r="I8" s="9" t="s">
        <v>42</v>
      </c>
      <c r="J8" s="11" t="s">
        <v>28</v>
      </c>
      <c r="K8" s="12">
        <v>5000000</v>
      </c>
      <c r="L8" s="12">
        <v>3000000</v>
      </c>
      <c r="M8" s="29">
        <v>5000</v>
      </c>
      <c r="N8" s="9">
        <v>1678</v>
      </c>
      <c r="O8" s="31">
        <f t="shared" si="0"/>
        <v>17</v>
      </c>
      <c r="Q8" s="25" t="s">
        <v>200</v>
      </c>
      <c r="R8" t="s">
        <v>204</v>
      </c>
    </row>
    <row r="9" spans="1:18" x14ac:dyDescent="0.25">
      <c r="A9" t="s">
        <v>107</v>
      </c>
      <c r="B9" t="s">
        <v>105</v>
      </c>
      <c r="C9" s="6" t="s">
        <v>25</v>
      </c>
      <c r="D9" s="22">
        <v>20</v>
      </c>
      <c r="E9" s="9" t="s">
        <v>19</v>
      </c>
      <c r="F9" s="9" t="s">
        <v>19</v>
      </c>
      <c r="G9" s="7">
        <v>0.25</v>
      </c>
      <c r="H9" s="7">
        <v>0.75</v>
      </c>
      <c r="I9" s="9" t="s">
        <v>42</v>
      </c>
      <c r="J9" s="11" t="s">
        <v>28</v>
      </c>
      <c r="K9" s="12">
        <v>3000000</v>
      </c>
      <c r="L9" s="12">
        <v>1000000</v>
      </c>
      <c r="M9" s="29">
        <v>5000</v>
      </c>
      <c r="N9" s="9">
        <v>1986</v>
      </c>
      <c r="O9" s="31">
        <f t="shared" si="0"/>
        <v>20</v>
      </c>
      <c r="Q9" s="11">
        <v>14</v>
      </c>
      <c r="R9" s="26">
        <v>2000000</v>
      </c>
    </row>
    <row r="10" spans="1:18" x14ac:dyDescent="0.25">
      <c r="A10" t="s">
        <v>51</v>
      </c>
      <c r="B10" t="s">
        <v>12</v>
      </c>
      <c r="C10" t="s">
        <v>12</v>
      </c>
      <c r="D10" s="22">
        <v>0</v>
      </c>
      <c r="E10" s="9" t="s">
        <v>19</v>
      </c>
      <c r="F10" s="9" t="s">
        <v>19</v>
      </c>
      <c r="G10" s="7">
        <v>0.375</v>
      </c>
      <c r="H10" s="7">
        <v>0.70833333333333337</v>
      </c>
      <c r="I10" s="9" t="s">
        <v>42</v>
      </c>
      <c r="J10" s="11" t="s">
        <v>28</v>
      </c>
      <c r="K10" s="12">
        <v>3500000</v>
      </c>
      <c r="L10" s="12">
        <v>2000000</v>
      </c>
      <c r="M10" s="29">
        <v>2000</v>
      </c>
      <c r="N10" s="9">
        <v>0</v>
      </c>
      <c r="O10" s="31">
        <f t="shared" si="0"/>
        <v>0</v>
      </c>
      <c r="Q10" s="11">
        <v>17</v>
      </c>
      <c r="R10" s="26">
        <v>308000</v>
      </c>
    </row>
    <row r="11" spans="1:18" ht="13.2" x14ac:dyDescent="0.25">
      <c r="A11" t="s">
        <v>109</v>
      </c>
      <c r="B11" t="s">
        <v>105</v>
      </c>
      <c r="C11" s="6" t="s">
        <v>25</v>
      </c>
      <c r="D11" s="22">
        <v>20</v>
      </c>
      <c r="E11" s="9" t="s">
        <v>19</v>
      </c>
      <c r="F11" s="9" t="s">
        <v>19</v>
      </c>
      <c r="G11" s="7">
        <v>0.25</v>
      </c>
      <c r="H11" s="7">
        <v>0.75</v>
      </c>
      <c r="I11" s="9" t="s">
        <v>38</v>
      </c>
      <c r="J11" s="11" t="s">
        <v>101</v>
      </c>
      <c r="K11" s="20">
        <v>10000000</v>
      </c>
      <c r="L11" s="20">
        <v>5000000</v>
      </c>
      <c r="M11" s="29">
        <v>3000</v>
      </c>
      <c r="N11" s="9">
        <v>0</v>
      </c>
      <c r="O11" s="31">
        <f t="shared" si="0"/>
        <v>0</v>
      </c>
      <c r="Q11" s="11">
        <v>0</v>
      </c>
      <c r="R11" s="26">
        <v>288000</v>
      </c>
    </row>
    <row r="12" spans="1:18" ht="13.2" x14ac:dyDescent="0.25">
      <c r="A12" t="s">
        <v>52</v>
      </c>
      <c r="B12" t="s">
        <v>12</v>
      </c>
      <c r="C12" t="s">
        <v>12</v>
      </c>
      <c r="D12" s="22">
        <v>0</v>
      </c>
      <c r="E12" s="9" t="s">
        <v>19</v>
      </c>
      <c r="F12" s="9" t="s">
        <v>19</v>
      </c>
      <c r="G12" s="7">
        <v>0.375</v>
      </c>
      <c r="H12" s="7">
        <v>0.70833333333333337</v>
      </c>
      <c r="I12" s="9" t="s">
        <v>149</v>
      </c>
      <c r="J12" s="11" t="s">
        <v>29</v>
      </c>
      <c r="K12" s="20">
        <v>20000000</v>
      </c>
      <c r="L12" s="20">
        <v>10000000</v>
      </c>
      <c r="M12" s="29">
        <v>4000</v>
      </c>
      <c r="N12" s="9">
        <v>1896</v>
      </c>
      <c r="O12" s="31">
        <f t="shared" si="0"/>
        <v>19</v>
      </c>
      <c r="Q12" s="11">
        <v>20</v>
      </c>
      <c r="R12" s="26">
        <v>193500</v>
      </c>
    </row>
    <row r="13" spans="1:18" ht="13.2" x14ac:dyDescent="0.25">
      <c r="A13" s="5" t="s">
        <v>130</v>
      </c>
      <c r="B13" s="5" t="s">
        <v>14</v>
      </c>
      <c r="C13" s="5" t="s">
        <v>14</v>
      </c>
      <c r="D13" s="22">
        <v>0</v>
      </c>
      <c r="E13" s="10" t="s">
        <v>19</v>
      </c>
      <c r="F13" s="10" t="s">
        <v>19</v>
      </c>
      <c r="G13" s="8">
        <v>0.33333333333333331</v>
      </c>
      <c r="H13" s="8">
        <v>0.70833333333333337</v>
      </c>
      <c r="I13" s="10" t="s">
        <v>41</v>
      </c>
      <c r="J13" s="11" t="s">
        <v>28</v>
      </c>
      <c r="K13" s="12">
        <v>20000000</v>
      </c>
      <c r="L13" s="12">
        <v>5000000</v>
      </c>
      <c r="M13" s="30">
        <v>8000</v>
      </c>
      <c r="N13" s="13">
        <v>1953</v>
      </c>
      <c r="O13" s="31">
        <f t="shared" si="0"/>
        <v>20</v>
      </c>
      <c r="Q13" s="11">
        <v>21</v>
      </c>
      <c r="R13" s="26">
        <v>107514</v>
      </c>
    </row>
    <row r="14" spans="1:18" ht="13.2" x14ac:dyDescent="0.25">
      <c r="A14" t="s">
        <v>46</v>
      </c>
      <c r="B14" t="s">
        <v>12</v>
      </c>
      <c r="C14" t="s">
        <v>12</v>
      </c>
      <c r="D14" s="22">
        <v>0</v>
      </c>
      <c r="E14" s="9" t="s">
        <v>19</v>
      </c>
      <c r="F14" s="9" t="s">
        <v>19</v>
      </c>
      <c r="G14" s="7">
        <v>0.20833333333333334</v>
      </c>
      <c r="H14" s="7">
        <v>0.875</v>
      </c>
      <c r="I14" s="9" t="s">
        <v>149</v>
      </c>
      <c r="J14" s="11" t="s">
        <v>27</v>
      </c>
      <c r="K14" s="20">
        <v>2000000</v>
      </c>
      <c r="L14" s="20">
        <v>1800000</v>
      </c>
      <c r="M14" s="29">
        <v>5000</v>
      </c>
      <c r="N14" s="9">
        <v>2003</v>
      </c>
      <c r="O14" s="31">
        <f t="shared" si="0"/>
        <v>21</v>
      </c>
      <c r="Q14" s="11">
        <v>19</v>
      </c>
      <c r="R14" s="26">
        <v>39000</v>
      </c>
    </row>
    <row r="15" spans="1:18" ht="13.2" x14ac:dyDescent="0.25">
      <c r="A15" s="5" t="s">
        <v>168</v>
      </c>
      <c r="B15" s="5" t="s">
        <v>16</v>
      </c>
      <c r="C15" s="5" t="s">
        <v>16</v>
      </c>
      <c r="D15" s="23">
        <v>80</v>
      </c>
      <c r="E15" s="10" t="s">
        <v>20</v>
      </c>
      <c r="F15" s="10" t="s">
        <v>20</v>
      </c>
      <c r="G15" s="8">
        <v>0.29166666666666669</v>
      </c>
      <c r="H15" s="8">
        <v>0.70833333333333337</v>
      </c>
      <c r="I15" s="10" t="s">
        <v>149</v>
      </c>
      <c r="J15" s="11" t="s">
        <v>28</v>
      </c>
      <c r="K15" s="12">
        <v>50000000</v>
      </c>
      <c r="L15" s="12">
        <v>30000000</v>
      </c>
      <c r="M15" s="29">
        <v>12000</v>
      </c>
      <c r="N15" s="14">
        <v>1939</v>
      </c>
      <c r="O15" s="31">
        <f t="shared" si="0"/>
        <v>20</v>
      </c>
      <c r="Q15" s="11">
        <v>18</v>
      </c>
      <c r="R15" s="26">
        <v>37500</v>
      </c>
    </row>
    <row r="16" spans="1:18" ht="13.2" x14ac:dyDescent="0.25">
      <c r="A16" t="s">
        <v>135</v>
      </c>
      <c r="B16" t="s">
        <v>43</v>
      </c>
      <c r="C16" t="s">
        <v>43</v>
      </c>
      <c r="D16" s="22">
        <v>0</v>
      </c>
      <c r="E16" s="9" t="s">
        <v>19</v>
      </c>
      <c r="F16" s="9" t="s">
        <v>19</v>
      </c>
      <c r="G16" s="7">
        <v>0.33333333333333331</v>
      </c>
      <c r="H16" s="7">
        <v>0.83333333333333337</v>
      </c>
      <c r="I16" s="9" t="s">
        <v>42</v>
      </c>
      <c r="J16" s="11" t="s">
        <v>28</v>
      </c>
      <c r="K16" s="20">
        <v>10000000</v>
      </c>
      <c r="L16" s="20">
        <v>5000000</v>
      </c>
      <c r="M16" s="29">
        <v>5000</v>
      </c>
      <c r="N16" s="9">
        <v>1973</v>
      </c>
      <c r="O16" s="31">
        <f t="shared" si="0"/>
        <v>20</v>
      </c>
      <c r="Q16" s="11">
        <v>7</v>
      </c>
      <c r="R16" s="26">
        <v>20000</v>
      </c>
    </row>
    <row r="17" spans="1:19" ht="13.2" x14ac:dyDescent="0.25">
      <c r="A17" t="s">
        <v>137</v>
      </c>
      <c r="B17" t="s">
        <v>43</v>
      </c>
      <c r="C17" t="s">
        <v>43</v>
      </c>
      <c r="D17" s="22">
        <v>0</v>
      </c>
      <c r="E17" s="9" t="s">
        <v>19</v>
      </c>
      <c r="F17" s="9" t="s">
        <v>19</v>
      </c>
      <c r="G17" s="7">
        <v>0.33333333333333331</v>
      </c>
      <c r="H17" s="7">
        <v>0.83333333333333337</v>
      </c>
      <c r="I17" s="9" t="s">
        <v>42</v>
      </c>
      <c r="J17" s="11" t="s">
        <v>28</v>
      </c>
      <c r="K17" s="20">
        <v>20000000</v>
      </c>
      <c r="L17" s="20">
        <v>10000000</v>
      </c>
      <c r="M17" s="29">
        <v>5000</v>
      </c>
      <c r="N17" s="9">
        <v>1956</v>
      </c>
      <c r="O17" s="31">
        <f t="shared" si="0"/>
        <v>20</v>
      </c>
      <c r="Q17" s="11">
        <v>12</v>
      </c>
      <c r="R17" s="26">
        <v>10000</v>
      </c>
    </row>
    <row r="18" spans="1:19" x14ac:dyDescent="0.25">
      <c r="A18" t="s">
        <v>138</v>
      </c>
      <c r="B18" t="s">
        <v>43</v>
      </c>
      <c r="C18" t="s">
        <v>43</v>
      </c>
      <c r="D18" s="22">
        <v>0</v>
      </c>
      <c r="E18" s="9" t="s">
        <v>19</v>
      </c>
      <c r="F18" s="9" t="s">
        <v>19</v>
      </c>
      <c r="G18" s="7">
        <v>0.33333333333333331</v>
      </c>
      <c r="H18" s="7">
        <v>0.83333333333333337</v>
      </c>
      <c r="I18" s="9" t="s">
        <v>42</v>
      </c>
      <c r="J18" s="11" t="s">
        <v>28</v>
      </c>
      <c r="K18" s="12">
        <v>50000000</v>
      </c>
      <c r="L18" s="12">
        <v>30000000</v>
      </c>
      <c r="M18" s="29">
        <v>2000</v>
      </c>
      <c r="N18" s="9">
        <v>1904</v>
      </c>
      <c r="O18" s="31">
        <f t="shared" si="0"/>
        <v>20</v>
      </c>
      <c r="Q18" s="11">
        <v>8</v>
      </c>
      <c r="R18" s="26">
        <v>7000</v>
      </c>
    </row>
    <row r="19" spans="1:19" ht="13.2" x14ac:dyDescent="0.25">
      <c r="A19" t="s">
        <v>139</v>
      </c>
      <c r="B19" t="s">
        <v>43</v>
      </c>
      <c r="C19" t="s">
        <v>43</v>
      </c>
      <c r="D19" s="22">
        <v>0</v>
      </c>
      <c r="E19" s="9" t="s">
        <v>19</v>
      </c>
      <c r="F19" s="9" t="s">
        <v>20</v>
      </c>
      <c r="G19" s="7">
        <v>0.33333333333333331</v>
      </c>
      <c r="H19" s="7">
        <v>0.75</v>
      </c>
      <c r="I19" s="9" t="s">
        <v>41</v>
      </c>
      <c r="J19" s="11" t="s">
        <v>28</v>
      </c>
      <c r="K19" s="20">
        <v>10000000</v>
      </c>
      <c r="L19" s="12">
        <v>5000000</v>
      </c>
      <c r="M19" s="29">
        <v>3000</v>
      </c>
      <c r="N19" s="9">
        <v>1982</v>
      </c>
      <c r="O19" s="31">
        <f t="shared" si="0"/>
        <v>20</v>
      </c>
      <c r="Q19" s="11">
        <v>13</v>
      </c>
      <c r="R19" s="26">
        <v>5000</v>
      </c>
    </row>
    <row r="20" spans="1:19" ht="13.2" x14ac:dyDescent="0.25">
      <c r="A20" t="s">
        <v>140</v>
      </c>
      <c r="B20" t="s">
        <v>43</v>
      </c>
      <c r="C20" t="s">
        <v>43</v>
      </c>
      <c r="D20" s="22">
        <v>5</v>
      </c>
      <c r="E20" s="9" t="s">
        <v>19</v>
      </c>
      <c r="F20" s="9" t="s">
        <v>20</v>
      </c>
      <c r="G20" s="7">
        <v>0.41666666666666669</v>
      </c>
      <c r="H20" s="8">
        <v>0.70833333333333337</v>
      </c>
      <c r="I20" s="9" t="s">
        <v>37</v>
      </c>
      <c r="J20" s="11" t="s">
        <v>28</v>
      </c>
      <c r="K20" s="20">
        <v>10000000</v>
      </c>
      <c r="L20" s="20">
        <v>5000000</v>
      </c>
      <c r="M20" s="29">
        <v>4000</v>
      </c>
      <c r="N20" s="9">
        <v>1981</v>
      </c>
      <c r="O20" s="31">
        <f t="shared" si="0"/>
        <v>20</v>
      </c>
      <c r="Q20" s="11">
        <v>3</v>
      </c>
      <c r="R20" s="26">
        <v>5000</v>
      </c>
    </row>
    <row r="21" spans="1:19" ht="13.2" x14ac:dyDescent="0.25">
      <c r="A21" t="s">
        <v>141</v>
      </c>
      <c r="B21" t="s">
        <v>43</v>
      </c>
      <c r="C21" t="s">
        <v>43</v>
      </c>
      <c r="D21" s="22">
        <v>0</v>
      </c>
      <c r="E21" s="9" t="s">
        <v>19</v>
      </c>
      <c r="F21" s="9" t="s">
        <v>20</v>
      </c>
      <c r="G21" s="7">
        <v>0.41666666666666669</v>
      </c>
      <c r="H21" s="8">
        <v>0.70833333333333337</v>
      </c>
      <c r="I21" s="9" t="s">
        <v>37</v>
      </c>
      <c r="J21" s="11" t="s">
        <v>27</v>
      </c>
      <c r="K21" s="20">
        <v>5000000</v>
      </c>
      <c r="L21" s="20">
        <v>2000000</v>
      </c>
      <c r="M21" s="30">
        <v>8000</v>
      </c>
      <c r="N21" s="9">
        <v>1968</v>
      </c>
      <c r="O21" s="31">
        <f t="shared" si="0"/>
        <v>20</v>
      </c>
      <c r="Q21" s="11">
        <v>16</v>
      </c>
      <c r="R21" s="26">
        <v>4400</v>
      </c>
    </row>
    <row r="22" spans="1:19" ht="13.2" x14ac:dyDescent="0.25">
      <c r="A22" t="s">
        <v>142</v>
      </c>
      <c r="B22" t="s">
        <v>43</v>
      </c>
      <c r="C22" t="s">
        <v>43</v>
      </c>
      <c r="D22" s="22">
        <v>40</v>
      </c>
      <c r="E22" s="9" t="s">
        <v>19</v>
      </c>
      <c r="F22" s="9" t="s">
        <v>20</v>
      </c>
      <c r="G22" s="7">
        <v>0.4375</v>
      </c>
      <c r="H22" s="7">
        <v>0.6875</v>
      </c>
      <c r="I22" s="9" t="s">
        <v>37</v>
      </c>
      <c r="J22" s="11" t="s">
        <v>28</v>
      </c>
      <c r="K22" s="20">
        <v>10000000</v>
      </c>
      <c r="L22" s="20">
        <v>5000000</v>
      </c>
      <c r="M22" s="29">
        <v>5000</v>
      </c>
      <c r="N22" s="9">
        <v>1872</v>
      </c>
      <c r="O22" s="31">
        <f t="shared" si="0"/>
        <v>19</v>
      </c>
      <c r="Q22" s="11">
        <v>15</v>
      </c>
      <c r="R22" s="26">
        <v>4000</v>
      </c>
    </row>
    <row r="23" spans="1:19" ht="13.2" x14ac:dyDescent="0.25">
      <c r="A23" t="s">
        <v>143</v>
      </c>
      <c r="B23" t="s">
        <v>43</v>
      </c>
      <c r="C23" t="s">
        <v>43</v>
      </c>
      <c r="D23" s="22">
        <v>0</v>
      </c>
      <c r="E23" s="9" t="s">
        <v>19</v>
      </c>
      <c r="F23" s="9" t="s">
        <v>20</v>
      </c>
      <c r="G23" s="7">
        <v>0.4375</v>
      </c>
      <c r="H23" s="7">
        <v>0.6875</v>
      </c>
      <c r="I23" s="9" t="s">
        <v>37</v>
      </c>
      <c r="J23" s="11" t="s">
        <v>27</v>
      </c>
      <c r="K23" s="20">
        <v>10000000</v>
      </c>
      <c r="L23" s="20">
        <v>5000000</v>
      </c>
      <c r="M23" s="29">
        <v>10000</v>
      </c>
      <c r="N23" s="9">
        <v>1200</v>
      </c>
      <c r="O23" s="31">
        <f t="shared" si="0"/>
        <v>12</v>
      </c>
      <c r="Q23" s="11" t="s">
        <v>201</v>
      </c>
      <c r="R23" s="26">
        <v>3028914</v>
      </c>
    </row>
    <row r="24" spans="1:19" ht="13.2" x14ac:dyDescent="0.25">
      <c r="A24" t="s">
        <v>144</v>
      </c>
      <c r="B24" t="s">
        <v>43</v>
      </c>
      <c r="C24" t="s">
        <v>43</v>
      </c>
      <c r="D24" s="22">
        <v>10</v>
      </c>
      <c r="E24" s="9" t="s">
        <v>19</v>
      </c>
      <c r="F24" s="9" t="s">
        <v>20</v>
      </c>
      <c r="G24" s="7">
        <v>0.4375</v>
      </c>
      <c r="H24" s="7">
        <v>0.83333333333333337</v>
      </c>
      <c r="I24" s="9" t="s">
        <v>42</v>
      </c>
      <c r="J24" s="11" t="s">
        <v>36</v>
      </c>
      <c r="K24" s="20">
        <v>10000000</v>
      </c>
      <c r="L24" s="12">
        <v>5000000</v>
      </c>
      <c r="M24" s="29">
        <v>300000</v>
      </c>
      <c r="N24" s="9">
        <v>1700</v>
      </c>
      <c r="O24" s="31">
        <f t="shared" si="0"/>
        <v>17</v>
      </c>
    </row>
    <row r="25" spans="1:19" ht="13.2" x14ac:dyDescent="0.25">
      <c r="A25" t="s">
        <v>73</v>
      </c>
      <c r="B25" t="s">
        <v>43</v>
      </c>
      <c r="C25" t="s">
        <v>43</v>
      </c>
      <c r="D25" s="22">
        <v>0</v>
      </c>
      <c r="E25" s="9" t="s">
        <v>19</v>
      </c>
      <c r="F25" s="9" t="s">
        <v>20</v>
      </c>
      <c r="G25" s="7">
        <v>0.4375</v>
      </c>
      <c r="H25" s="7">
        <v>0.83333333333333337</v>
      </c>
      <c r="I25" s="9" t="s">
        <v>42</v>
      </c>
      <c r="J25" s="11" t="s">
        <v>27</v>
      </c>
      <c r="K25" s="20">
        <v>10000000</v>
      </c>
      <c r="L25" s="20">
        <v>3000000</v>
      </c>
      <c r="M25" s="29">
        <v>3500</v>
      </c>
      <c r="N25" s="9">
        <v>1860</v>
      </c>
      <c r="O25" s="31">
        <f t="shared" si="0"/>
        <v>19</v>
      </c>
      <c r="Q25" s="39" t="s">
        <v>228</v>
      </c>
    </row>
    <row r="26" spans="1:19" ht="13.2" x14ac:dyDescent="0.25">
      <c r="A26" t="s">
        <v>145</v>
      </c>
      <c r="B26" t="s">
        <v>43</v>
      </c>
      <c r="C26" t="s">
        <v>43</v>
      </c>
      <c r="D26" s="22">
        <v>0</v>
      </c>
      <c r="E26" s="9" t="s">
        <v>19</v>
      </c>
      <c r="F26" s="9" t="s">
        <v>20</v>
      </c>
      <c r="G26" s="7">
        <v>0.4375</v>
      </c>
      <c r="H26" s="7">
        <v>0.83333333333333337</v>
      </c>
      <c r="I26" s="9" t="s">
        <v>42</v>
      </c>
      <c r="J26" s="11" t="s">
        <v>27</v>
      </c>
      <c r="K26" s="20">
        <v>2000000</v>
      </c>
      <c r="L26" s="20">
        <v>1800000</v>
      </c>
      <c r="M26" s="29">
        <v>2000</v>
      </c>
      <c r="N26" s="9">
        <v>1781</v>
      </c>
      <c r="O26" s="31">
        <f t="shared" si="0"/>
        <v>18</v>
      </c>
      <c r="Q26" s="45" t="s">
        <v>227</v>
      </c>
      <c r="R26" s="45"/>
      <c r="S26" s="45"/>
    </row>
    <row r="27" spans="1:19" x14ac:dyDescent="0.25">
      <c r="A27" t="s">
        <v>146</v>
      </c>
      <c r="B27" t="s">
        <v>147</v>
      </c>
      <c r="C27" t="s">
        <v>43</v>
      </c>
      <c r="D27" s="22">
        <v>15</v>
      </c>
      <c r="E27" s="9" t="s">
        <v>19</v>
      </c>
      <c r="F27" s="9" t="s">
        <v>19</v>
      </c>
      <c r="G27" s="7">
        <v>0.4375</v>
      </c>
      <c r="H27" s="7">
        <v>0.83333333333333337</v>
      </c>
      <c r="I27" s="9" t="s">
        <v>42</v>
      </c>
      <c r="J27" s="11" t="s">
        <v>28</v>
      </c>
      <c r="K27" s="12">
        <v>5000000</v>
      </c>
      <c r="L27" s="12">
        <v>1000000</v>
      </c>
      <c r="M27" s="29">
        <v>5000</v>
      </c>
      <c r="N27" s="9">
        <v>1300</v>
      </c>
      <c r="O27" s="31">
        <f t="shared" si="0"/>
        <v>13</v>
      </c>
      <c r="Q27" s="45"/>
      <c r="R27" s="45"/>
      <c r="S27" s="45"/>
    </row>
    <row r="28" spans="1:19" ht="13.2" x14ac:dyDescent="0.25">
      <c r="A28" t="s">
        <v>108</v>
      </c>
      <c r="B28" t="s">
        <v>105</v>
      </c>
      <c r="C28" s="6" t="s">
        <v>25</v>
      </c>
      <c r="D28" s="22">
        <v>0</v>
      </c>
      <c r="E28" s="9" t="s">
        <v>19</v>
      </c>
      <c r="F28" s="9" t="s">
        <v>19</v>
      </c>
      <c r="G28" s="7">
        <v>0.25</v>
      </c>
      <c r="H28" s="7">
        <v>0.75</v>
      </c>
      <c r="I28" s="9" t="s">
        <v>37</v>
      </c>
      <c r="J28" s="11" t="s">
        <v>27</v>
      </c>
      <c r="K28" s="20">
        <v>2000000</v>
      </c>
      <c r="L28" s="20">
        <v>1500000</v>
      </c>
      <c r="M28" s="29">
        <v>3000</v>
      </c>
      <c r="N28" s="9">
        <v>1977</v>
      </c>
      <c r="O28" s="31">
        <f t="shared" si="0"/>
        <v>20</v>
      </c>
    </row>
    <row r="29" spans="1:19" ht="13.2" x14ac:dyDescent="0.25">
      <c r="A29" s="5" t="s">
        <v>90</v>
      </c>
      <c r="B29" s="5" t="s">
        <v>14</v>
      </c>
      <c r="C29" s="5" t="s">
        <v>14</v>
      </c>
      <c r="D29" s="23">
        <v>20</v>
      </c>
      <c r="E29" s="10" t="s">
        <v>19</v>
      </c>
      <c r="F29" s="10" t="s">
        <v>20</v>
      </c>
      <c r="G29" s="8">
        <v>0.33333333333333331</v>
      </c>
      <c r="H29" s="8">
        <v>0.70833333333333337</v>
      </c>
      <c r="I29" s="10" t="s">
        <v>41</v>
      </c>
      <c r="J29" s="11" t="s">
        <v>28</v>
      </c>
      <c r="K29" s="20">
        <v>10000000</v>
      </c>
      <c r="L29" s="20">
        <v>5000000</v>
      </c>
      <c r="M29" s="29">
        <v>10000</v>
      </c>
      <c r="N29" s="13">
        <v>1895</v>
      </c>
      <c r="O29" s="31">
        <f t="shared" si="0"/>
        <v>19</v>
      </c>
    </row>
    <row r="30" spans="1:19" ht="13.2" x14ac:dyDescent="0.25">
      <c r="A30" s="5" t="s">
        <v>165</v>
      </c>
      <c r="B30" s="5" t="s">
        <v>183</v>
      </c>
      <c r="C30" s="5" t="s">
        <v>16</v>
      </c>
      <c r="D30" s="23">
        <v>100</v>
      </c>
      <c r="E30" s="10" t="s">
        <v>20</v>
      </c>
      <c r="F30" s="10" t="s">
        <v>20</v>
      </c>
      <c r="G30" s="8">
        <v>0.41666666666666669</v>
      </c>
      <c r="H30" s="8">
        <v>0.66666666666666663</v>
      </c>
      <c r="I30" s="10" t="s">
        <v>41</v>
      </c>
      <c r="J30" s="11" t="s">
        <v>33</v>
      </c>
      <c r="K30" s="20">
        <v>50000000</v>
      </c>
      <c r="L30" s="12">
        <v>20000000</v>
      </c>
      <c r="M30" s="30">
        <v>15000</v>
      </c>
      <c r="N30" s="9">
        <v>0</v>
      </c>
      <c r="O30" s="31">
        <f t="shared" si="0"/>
        <v>0</v>
      </c>
    </row>
    <row r="31" spans="1:19" x14ac:dyDescent="0.25">
      <c r="A31" t="s">
        <v>53</v>
      </c>
      <c r="B31" t="s">
        <v>12</v>
      </c>
      <c r="C31" t="s">
        <v>12</v>
      </c>
      <c r="D31" s="22">
        <v>0</v>
      </c>
      <c r="E31" s="9" t="s">
        <v>19</v>
      </c>
      <c r="F31" s="9" t="s">
        <v>19</v>
      </c>
      <c r="G31" s="7">
        <v>0.20833333333333334</v>
      </c>
      <c r="H31" s="7">
        <v>0.875</v>
      </c>
      <c r="I31" s="9" t="s">
        <v>37</v>
      </c>
      <c r="J31" s="11" t="s">
        <v>27</v>
      </c>
      <c r="K31" s="12">
        <v>3500000</v>
      </c>
      <c r="L31" s="12">
        <v>2000000</v>
      </c>
      <c r="M31" s="29">
        <v>2000</v>
      </c>
      <c r="N31" s="9">
        <v>1910</v>
      </c>
      <c r="O31" s="31">
        <f t="shared" si="0"/>
        <v>20</v>
      </c>
    </row>
    <row r="32" spans="1:19" ht="13.2" x14ac:dyDescent="0.25">
      <c r="A32" t="s">
        <v>54</v>
      </c>
      <c r="B32" t="s">
        <v>12</v>
      </c>
      <c r="C32" t="s">
        <v>12</v>
      </c>
      <c r="D32" s="22">
        <v>0</v>
      </c>
      <c r="E32" s="9" t="s">
        <v>19</v>
      </c>
      <c r="F32" s="9" t="s">
        <v>19</v>
      </c>
      <c r="G32" s="7">
        <v>0.375</v>
      </c>
      <c r="H32" s="7">
        <v>0.70833333333333337</v>
      </c>
      <c r="I32" s="9" t="s">
        <v>149</v>
      </c>
      <c r="J32" s="11" t="s">
        <v>28</v>
      </c>
      <c r="K32" s="20">
        <v>10000000</v>
      </c>
      <c r="L32" s="20">
        <v>5000000</v>
      </c>
      <c r="M32" s="29">
        <v>1500</v>
      </c>
      <c r="N32" s="9">
        <v>1908</v>
      </c>
      <c r="O32" s="31">
        <f t="shared" si="0"/>
        <v>20</v>
      </c>
    </row>
    <row r="33" spans="1:17" ht="13.2" x14ac:dyDescent="0.25">
      <c r="A33" s="5" t="s">
        <v>156</v>
      </c>
      <c r="B33" s="5" t="s">
        <v>17</v>
      </c>
      <c r="C33" s="5" t="s">
        <v>17</v>
      </c>
      <c r="D33" s="23">
        <v>30</v>
      </c>
      <c r="E33" s="10" t="s">
        <v>20</v>
      </c>
      <c r="F33" s="10" t="s">
        <v>20</v>
      </c>
      <c r="G33" s="8">
        <v>0.33333333333333331</v>
      </c>
      <c r="H33" s="8">
        <v>0.70833333333333337</v>
      </c>
      <c r="I33" s="10" t="s">
        <v>38</v>
      </c>
      <c r="J33" s="11" t="s">
        <v>36</v>
      </c>
      <c r="K33" s="20">
        <v>40000000</v>
      </c>
      <c r="L33" s="20">
        <v>20000000</v>
      </c>
      <c r="M33" s="30">
        <v>20000</v>
      </c>
      <c r="N33" s="9">
        <v>0</v>
      </c>
      <c r="O33" s="31">
        <f t="shared" si="0"/>
        <v>0</v>
      </c>
    </row>
    <row r="34" spans="1:17" ht="13.2" x14ac:dyDescent="0.25">
      <c r="A34" s="5" t="s">
        <v>182</v>
      </c>
      <c r="B34" s="5" t="s">
        <v>184</v>
      </c>
      <c r="C34" s="6" t="s">
        <v>15</v>
      </c>
      <c r="D34" s="23">
        <v>20</v>
      </c>
      <c r="E34" s="10" t="s">
        <v>20</v>
      </c>
      <c r="F34" s="10" t="s">
        <v>20</v>
      </c>
      <c r="G34" s="8">
        <v>0.375</v>
      </c>
      <c r="H34" s="8">
        <v>0.70833333333333337</v>
      </c>
      <c r="I34" s="10" t="s">
        <v>41</v>
      </c>
      <c r="J34" s="11" t="s">
        <v>27</v>
      </c>
      <c r="K34" s="20">
        <v>10000000</v>
      </c>
      <c r="L34" s="20">
        <v>5000000</v>
      </c>
      <c r="M34" s="30">
        <v>12000</v>
      </c>
      <c r="N34" s="14">
        <v>1722</v>
      </c>
      <c r="O34" s="31">
        <f t="shared" si="0"/>
        <v>18</v>
      </c>
    </row>
    <row r="35" spans="1:17" ht="13.2" x14ac:dyDescent="0.25">
      <c r="A35" s="5" t="s">
        <v>153</v>
      </c>
      <c r="B35" s="5" t="s">
        <v>17</v>
      </c>
      <c r="C35" s="5" t="s">
        <v>17</v>
      </c>
      <c r="D35" s="22">
        <v>0</v>
      </c>
      <c r="E35" s="10" t="s">
        <v>19</v>
      </c>
      <c r="F35" s="10" t="s">
        <v>20</v>
      </c>
      <c r="G35" s="8">
        <v>24</v>
      </c>
      <c r="H35" s="8" t="s">
        <v>136</v>
      </c>
      <c r="I35" s="10" t="s">
        <v>41</v>
      </c>
      <c r="J35" s="11" t="s">
        <v>27</v>
      </c>
      <c r="K35" s="20">
        <v>10000000</v>
      </c>
      <c r="L35" s="20">
        <v>3000000</v>
      </c>
      <c r="M35" s="29">
        <v>1000000</v>
      </c>
      <c r="N35" s="14">
        <v>1346</v>
      </c>
      <c r="O35" s="31">
        <f t="shared" si="0"/>
        <v>14</v>
      </c>
    </row>
    <row r="36" spans="1:17" ht="13.2" x14ac:dyDescent="0.25">
      <c r="A36" s="5" t="s">
        <v>154</v>
      </c>
      <c r="B36" s="5" t="s">
        <v>17</v>
      </c>
      <c r="C36" s="5" t="s">
        <v>17</v>
      </c>
      <c r="D36" s="23">
        <v>50</v>
      </c>
      <c r="E36" s="10" t="s">
        <v>20</v>
      </c>
      <c r="F36" s="10" t="s">
        <v>20</v>
      </c>
      <c r="G36" s="8">
        <v>0.33333333333333331</v>
      </c>
      <c r="H36" s="8">
        <v>0.70833333333333337</v>
      </c>
      <c r="I36" s="10" t="s">
        <v>38</v>
      </c>
      <c r="J36" s="11" t="s">
        <v>35</v>
      </c>
      <c r="K36" s="20">
        <v>30000000</v>
      </c>
      <c r="L36" s="20">
        <v>10000000</v>
      </c>
      <c r="M36" s="30">
        <v>10000</v>
      </c>
      <c r="N36" s="9">
        <v>0</v>
      </c>
      <c r="O36" s="31">
        <f t="shared" si="0"/>
        <v>0</v>
      </c>
    </row>
    <row r="37" spans="1:17" ht="13.2" x14ac:dyDescent="0.25">
      <c r="A37" s="5" t="s">
        <v>22</v>
      </c>
      <c r="B37" s="5" t="s">
        <v>186</v>
      </c>
      <c r="C37" s="5" t="s">
        <v>17</v>
      </c>
      <c r="D37" s="23">
        <v>30</v>
      </c>
      <c r="E37" s="10" t="s">
        <v>20</v>
      </c>
      <c r="F37" s="10" t="s">
        <v>20</v>
      </c>
      <c r="G37" s="8">
        <v>0.29166666666666669</v>
      </c>
      <c r="H37" s="8">
        <v>0.72916666666666663</v>
      </c>
      <c r="I37" s="10" t="s">
        <v>41</v>
      </c>
      <c r="J37" s="11" t="s">
        <v>31</v>
      </c>
      <c r="K37" s="20">
        <v>20000000</v>
      </c>
      <c r="L37" s="20">
        <v>10000000</v>
      </c>
      <c r="M37" s="30">
        <v>12000</v>
      </c>
      <c r="N37" s="9">
        <v>0</v>
      </c>
      <c r="O37" s="31">
        <f t="shared" si="0"/>
        <v>0</v>
      </c>
    </row>
    <row r="38" spans="1:17" x14ac:dyDescent="0.25">
      <c r="A38" t="s">
        <v>110</v>
      </c>
      <c r="B38" t="s">
        <v>105</v>
      </c>
      <c r="C38" s="6" t="s">
        <v>25</v>
      </c>
      <c r="D38" s="22">
        <v>0</v>
      </c>
      <c r="E38" s="9" t="s">
        <v>19</v>
      </c>
      <c r="F38" s="9" t="s">
        <v>19</v>
      </c>
      <c r="G38" s="7">
        <v>0.25</v>
      </c>
      <c r="H38" s="7">
        <v>0.75</v>
      </c>
      <c r="I38" s="9" t="s">
        <v>38</v>
      </c>
      <c r="J38" s="11" t="s">
        <v>101</v>
      </c>
      <c r="K38" s="12">
        <v>3500000</v>
      </c>
      <c r="L38" s="12">
        <v>2000000</v>
      </c>
      <c r="M38" s="29">
        <v>3000</v>
      </c>
      <c r="N38" s="9">
        <v>0</v>
      </c>
      <c r="O38" s="31">
        <f t="shared" si="0"/>
        <v>0</v>
      </c>
    </row>
    <row r="39" spans="1:17" ht="13.2" x14ac:dyDescent="0.25">
      <c r="A39" t="s">
        <v>84</v>
      </c>
      <c r="B39" s="5" t="s">
        <v>18</v>
      </c>
      <c r="C39" s="5" t="s">
        <v>18</v>
      </c>
      <c r="D39" s="23">
        <v>15</v>
      </c>
      <c r="E39" s="10" t="s">
        <v>19</v>
      </c>
      <c r="F39" s="10" t="s">
        <v>20</v>
      </c>
      <c r="G39" s="8">
        <v>0.41666666666666669</v>
      </c>
      <c r="H39" s="8">
        <v>0.70833333333333337</v>
      </c>
      <c r="I39" s="10" t="s">
        <v>37</v>
      </c>
      <c r="J39" s="11" t="s">
        <v>28</v>
      </c>
      <c r="K39" s="20">
        <v>10000000</v>
      </c>
      <c r="L39" s="20">
        <v>5000000</v>
      </c>
      <c r="M39" s="30">
        <v>8000</v>
      </c>
      <c r="N39" s="14">
        <v>1905</v>
      </c>
      <c r="O39" s="31">
        <f t="shared" si="0"/>
        <v>20</v>
      </c>
    </row>
    <row r="40" spans="1:17" ht="13.2" x14ac:dyDescent="0.25">
      <c r="A40" s="5" t="s">
        <v>187</v>
      </c>
      <c r="B40" s="5" t="s">
        <v>170</v>
      </c>
      <c r="C40" s="5" t="s">
        <v>16</v>
      </c>
      <c r="D40" s="23">
        <v>10</v>
      </c>
      <c r="E40" s="10" t="s">
        <v>19</v>
      </c>
      <c r="F40" s="10" t="s">
        <v>19</v>
      </c>
      <c r="G40" s="8">
        <v>0.33333333333333331</v>
      </c>
      <c r="H40" s="8">
        <v>0.70833333333333337</v>
      </c>
      <c r="I40" s="10" t="s">
        <v>41</v>
      </c>
      <c r="J40" s="11" t="s">
        <v>28</v>
      </c>
      <c r="K40" s="20">
        <v>20000000</v>
      </c>
      <c r="L40" s="20">
        <v>10000000</v>
      </c>
      <c r="M40" s="30">
        <v>20000</v>
      </c>
      <c r="N40" s="14">
        <v>700</v>
      </c>
      <c r="O40" s="31">
        <f t="shared" si="0"/>
        <v>7</v>
      </c>
    </row>
    <row r="41" spans="1:17" x14ac:dyDescent="0.25">
      <c r="A41" t="s">
        <v>150</v>
      </c>
      <c r="B41" t="s">
        <v>43</v>
      </c>
      <c r="C41" t="s">
        <v>43</v>
      </c>
      <c r="D41" s="22">
        <v>50</v>
      </c>
      <c r="E41" s="9" t="s">
        <v>19</v>
      </c>
      <c r="F41" s="9" t="s">
        <v>19</v>
      </c>
      <c r="G41" s="7">
        <v>0.25</v>
      </c>
      <c r="H41" s="7">
        <v>0.75</v>
      </c>
      <c r="I41" s="9" t="s">
        <v>42</v>
      </c>
      <c r="J41" s="11" t="s">
        <v>29</v>
      </c>
      <c r="K41" s="12">
        <v>50000000</v>
      </c>
      <c r="L41" s="12">
        <v>30000000</v>
      </c>
      <c r="M41" s="29">
        <v>5000</v>
      </c>
      <c r="N41" s="9">
        <v>1974</v>
      </c>
      <c r="O41" s="31">
        <f t="shared" si="0"/>
        <v>20</v>
      </c>
    </row>
    <row r="42" spans="1:17" ht="13.2" x14ac:dyDescent="0.25">
      <c r="A42" t="s">
        <v>79</v>
      </c>
      <c r="B42" t="s">
        <v>43</v>
      </c>
      <c r="C42" t="s">
        <v>43</v>
      </c>
      <c r="D42" s="22">
        <v>0</v>
      </c>
      <c r="E42" s="9" t="s">
        <v>19</v>
      </c>
      <c r="F42" s="9" t="s">
        <v>19</v>
      </c>
      <c r="G42" s="7">
        <v>0.25</v>
      </c>
      <c r="H42" s="7">
        <v>0.75</v>
      </c>
      <c r="I42" s="9" t="s">
        <v>37</v>
      </c>
      <c r="J42" s="11" t="s">
        <v>29</v>
      </c>
      <c r="K42" s="20">
        <v>10000000</v>
      </c>
      <c r="L42" s="12">
        <v>5000000</v>
      </c>
      <c r="M42" s="29">
        <v>4000</v>
      </c>
      <c r="N42" s="9">
        <v>0</v>
      </c>
      <c r="O42" s="31">
        <f t="shared" si="0"/>
        <v>0</v>
      </c>
    </row>
    <row r="43" spans="1:17" ht="13.2" x14ac:dyDescent="0.25">
      <c r="A43" s="5" t="s">
        <v>160</v>
      </c>
      <c r="B43" s="5" t="s">
        <v>17</v>
      </c>
      <c r="C43" s="5" t="s">
        <v>17</v>
      </c>
      <c r="D43" s="23">
        <v>20</v>
      </c>
      <c r="E43" s="10" t="s">
        <v>20</v>
      </c>
      <c r="F43" s="10" t="s">
        <v>20</v>
      </c>
      <c r="G43" s="8">
        <v>24</v>
      </c>
      <c r="H43" s="8" t="s">
        <v>136</v>
      </c>
      <c r="I43" s="10" t="s">
        <v>41</v>
      </c>
      <c r="J43" s="11" t="s">
        <v>27</v>
      </c>
      <c r="K43" s="20">
        <v>10000000</v>
      </c>
      <c r="L43" s="20">
        <v>5000000</v>
      </c>
      <c r="M43" s="29">
        <v>1000000</v>
      </c>
      <c r="N43" s="14">
        <v>1380</v>
      </c>
      <c r="O43" s="31">
        <f t="shared" si="0"/>
        <v>14</v>
      </c>
    </row>
    <row r="44" spans="1:17" ht="13.2" x14ac:dyDescent="0.25">
      <c r="A44" t="s">
        <v>133</v>
      </c>
      <c r="B44" t="s">
        <v>57</v>
      </c>
      <c r="C44" t="s">
        <v>12</v>
      </c>
      <c r="D44" s="22">
        <v>30</v>
      </c>
      <c r="E44" s="9" t="s">
        <v>134</v>
      </c>
      <c r="F44" s="9" t="s">
        <v>19</v>
      </c>
      <c r="G44" s="7">
        <v>0.375</v>
      </c>
      <c r="H44" s="7">
        <v>0.70833333333333337</v>
      </c>
      <c r="I44" s="10" t="s">
        <v>37</v>
      </c>
      <c r="J44" s="11" t="s">
        <v>29</v>
      </c>
      <c r="K44" s="20">
        <v>5000000</v>
      </c>
      <c r="L44" s="20">
        <v>2000000</v>
      </c>
      <c r="M44" s="29">
        <v>2014</v>
      </c>
      <c r="N44" s="9">
        <v>2014</v>
      </c>
      <c r="O44" s="31">
        <f t="shared" si="0"/>
        <v>21</v>
      </c>
    </row>
    <row r="45" spans="1:17" ht="13.2" x14ac:dyDescent="0.25">
      <c r="A45" t="s">
        <v>87</v>
      </c>
      <c r="B45" s="5" t="s">
        <v>18</v>
      </c>
      <c r="C45" s="5" t="s">
        <v>18</v>
      </c>
      <c r="D45" s="23">
        <v>40</v>
      </c>
      <c r="E45" s="10" t="s">
        <v>20</v>
      </c>
      <c r="F45" s="10" t="s">
        <v>20</v>
      </c>
      <c r="G45" s="8">
        <v>0.35416666666666669</v>
      </c>
      <c r="H45" s="8">
        <v>0.70833333333333337</v>
      </c>
      <c r="I45" s="10" t="s">
        <v>149</v>
      </c>
      <c r="J45" s="11" t="s">
        <v>32</v>
      </c>
      <c r="K45" s="20">
        <v>10000000</v>
      </c>
      <c r="L45" s="20">
        <v>5000000</v>
      </c>
      <c r="M45" s="30">
        <v>8000</v>
      </c>
      <c r="N45" s="14">
        <v>1975</v>
      </c>
      <c r="O45" s="31">
        <f t="shared" si="0"/>
        <v>20</v>
      </c>
    </row>
    <row r="46" spans="1:17" ht="13.2" x14ac:dyDescent="0.25">
      <c r="A46" s="5" t="s">
        <v>161</v>
      </c>
      <c r="B46" s="5" t="s">
        <v>162</v>
      </c>
      <c r="C46" s="5" t="s">
        <v>17</v>
      </c>
      <c r="D46" s="23">
        <v>50</v>
      </c>
      <c r="E46" s="10" t="s">
        <v>20</v>
      </c>
      <c r="F46" s="10" t="s">
        <v>20</v>
      </c>
      <c r="G46" s="8">
        <v>0.29166666666666669</v>
      </c>
      <c r="H46" s="8">
        <v>0.70833333333333337</v>
      </c>
      <c r="I46" s="10" t="s">
        <v>41</v>
      </c>
      <c r="J46" s="11" t="s">
        <v>29</v>
      </c>
      <c r="K46" s="20">
        <v>10000000</v>
      </c>
      <c r="L46" s="20">
        <v>5000000</v>
      </c>
      <c r="M46" s="30">
        <v>10000</v>
      </c>
      <c r="N46" s="14">
        <v>1856</v>
      </c>
      <c r="O46" s="31">
        <f t="shared" si="0"/>
        <v>19</v>
      </c>
    </row>
    <row r="47" spans="1:17" ht="13.2" x14ac:dyDescent="0.25">
      <c r="A47" t="s">
        <v>68</v>
      </c>
      <c r="B47" t="s">
        <v>44</v>
      </c>
      <c r="C47" t="s">
        <v>12</v>
      </c>
      <c r="D47" s="22">
        <v>20</v>
      </c>
      <c r="E47" s="9" t="s">
        <v>19</v>
      </c>
      <c r="F47" s="9" t="s">
        <v>19</v>
      </c>
      <c r="G47" s="7">
        <v>0.25</v>
      </c>
      <c r="H47" s="7">
        <v>0.75</v>
      </c>
      <c r="I47" s="9" t="s">
        <v>42</v>
      </c>
      <c r="J47" s="11" t="s">
        <v>29</v>
      </c>
      <c r="K47" s="20">
        <v>10000000</v>
      </c>
      <c r="L47" s="12">
        <v>5000000</v>
      </c>
      <c r="M47" s="29">
        <v>5000</v>
      </c>
      <c r="N47" s="9">
        <v>2005</v>
      </c>
      <c r="O47" s="31">
        <f t="shared" si="0"/>
        <v>21</v>
      </c>
      <c r="Q47" t="s">
        <v>230</v>
      </c>
    </row>
    <row r="48" spans="1:17" ht="13.2" x14ac:dyDescent="0.25">
      <c r="A48" s="5" t="s">
        <v>189</v>
      </c>
      <c r="B48" s="5" t="s">
        <v>13</v>
      </c>
      <c r="C48" s="5" t="s">
        <v>13</v>
      </c>
      <c r="D48" s="22">
        <v>0</v>
      </c>
      <c r="E48" s="10" t="s">
        <v>19</v>
      </c>
      <c r="F48" s="10" t="s">
        <v>20</v>
      </c>
      <c r="G48" s="8" t="s">
        <v>136</v>
      </c>
      <c r="H48" s="8" t="s">
        <v>136</v>
      </c>
      <c r="I48" s="10" t="s">
        <v>149</v>
      </c>
      <c r="J48" s="11" t="s">
        <v>28</v>
      </c>
      <c r="K48" s="20">
        <v>10000000</v>
      </c>
      <c r="L48" s="20">
        <v>3000000</v>
      </c>
      <c r="M48" s="30">
        <v>20000</v>
      </c>
      <c r="N48" s="14">
        <v>2005</v>
      </c>
      <c r="O48" s="31">
        <f t="shared" si="0"/>
        <v>21</v>
      </c>
      <c r="Q48" t="s">
        <v>229</v>
      </c>
    </row>
    <row r="49" spans="1:15" ht="13.2" x14ac:dyDescent="0.25">
      <c r="A49" t="s">
        <v>60</v>
      </c>
      <c r="B49" t="s">
        <v>59</v>
      </c>
      <c r="C49" t="s">
        <v>12</v>
      </c>
      <c r="D49" s="22">
        <v>0</v>
      </c>
      <c r="E49" s="9" t="s">
        <v>19</v>
      </c>
      <c r="F49" s="9" t="s">
        <v>19</v>
      </c>
      <c r="G49" s="7">
        <v>0.20833333333333334</v>
      </c>
      <c r="H49" s="7">
        <v>0.875</v>
      </c>
      <c r="I49" s="9" t="s">
        <v>149</v>
      </c>
      <c r="J49" s="11" t="s">
        <v>27</v>
      </c>
      <c r="K49" s="20">
        <v>2000000</v>
      </c>
      <c r="L49" s="20">
        <v>1800000</v>
      </c>
      <c r="M49" s="29">
        <v>2000</v>
      </c>
      <c r="N49" s="9">
        <v>1700</v>
      </c>
      <c r="O49" s="31">
        <f t="shared" si="0"/>
        <v>17</v>
      </c>
    </row>
    <row r="50" spans="1:15" ht="13.2" x14ac:dyDescent="0.25">
      <c r="A50" s="5" t="s">
        <v>83</v>
      </c>
      <c r="B50" s="5" t="s">
        <v>147</v>
      </c>
      <c r="C50" s="6" t="s">
        <v>43</v>
      </c>
      <c r="D50" s="23">
        <v>30</v>
      </c>
      <c r="E50" s="10" t="s">
        <v>19</v>
      </c>
      <c r="F50" s="10" t="s">
        <v>19</v>
      </c>
      <c r="G50" s="8">
        <v>0.375</v>
      </c>
      <c r="H50" s="8">
        <v>0.70833333333333337</v>
      </c>
      <c r="I50" s="10" t="s">
        <v>149</v>
      </c>
      <c r="J50" s="11" t="s">
        <v>32</v>
      </c>
      <c r="K50" s="20">
        <v>20000000</v>
      </c>
      <c r="L50" s="20">
        <v>10000000</v>
      </c>
      <c r="M50" s="30">
        <v>30000</v>
      </c>
      <c r="N50" s="14">
        <v>1975</v>
      </c>
      <c r="O50" s="31">
        <f t="shared" si="0"/>
        <v>20</v>
      </c>
    </row>
    <row r="51" spans="1:15" ht="13.2" x14ac:dyDescent="0.25">
      <c r="A51" s="5" t="s">
        <v>148</v>
      </c>
      <c r="B51" s="5" t="s">
        <v>43</v>
      </c>
      <c r="C51" s="5" t="s">
        <v>43</v>
      </c>
      <c r="D51" s="23">
        <v>40000</v>
      </c>
      <c r="E51" s="10" t="s">
        <v>19</v>
      </c>
      <c r="F51" s="10" t="s">
        <v>20</v>
      </c>
      <c r="G51" s="8">
        <v>0.4375</v>
      </c>
      <c r="H51" s="7">
        <v>0.83333333333333337</v>
      </c>
      <c r="I51" s="10" t="s">
        <v>149</v>
      </c>
      <c r="J51" s="11" t="s">
        <v>29</v>
      </c>
      <c r="K51" s="20">
        <v>30000000</v>
      </c>
      <c r="L51" s="20">
        <v>10000000</v>
      </c>
      <c r="M51" s="30">
        <v>5000</v>
      </c>
      <c r="N51" s="14">
        <v>1965</v>
      </c>
      <c r="O51" s="31">
        <f t="shared" si="0"/>
        <v>20</v>
      </c>
    </row>
    <row r="52" spans="1:15" ht="13.2" x14ac:dyDescent="0.25">
      <c r="A52" s="5" t="s">
        <v>188</v>
      </c>
      <c r="B52" s="5" t="s">
        <v>167</v>
      </c>
      <c r="C52" s="5" t="s">
        <v>16</v>
      </c>
      <c r="D52" s="23">
        <v>20</v>
      </c>
      <c r="E52" s="10" t="s">
        <v>19</v>
      </c>
      <c r="F52" s="10" t="s">
        <v>20</v>
      </c>
      <c r="G52" s="8">
        <v>0.25</v>
      </c>
      <c r="H52" s="8">
        <v>0.75</v>
      </c>
      <c r="I52" s="10" t="s">
        <v>42</v>
      </c>
      <c r="J52" s="11" t="s">
        <v>33</v>
      </c>
      <c r="K52" s="12">
        <v>50000000</v>
      </c>
      <c r="L52" s="20">
        <v>30000000</v>
      </c>
      <c r="M52" s="30">
        <v>25000</v>
      </c>
      <c r="N52" s="14">
        <v>2017</v>
      </c>
      <c r="O52" s="31">
        <f t="shared" si="0"/>
        <v>21</v>
      </c>
    </row>
    <row r="53" spans="1:15" ht="13.2" x14ac:dyDescent="0.25">
      <c r="A53" t="s">
        <v>58</v>
      </c>
      <c r="B53" t="s">
        <v>59</v>
      </c>
      <c r="C53" t="s">
        <v>12</v>
      </c>
      <c r="D53" s="22">
        <v>0</v>
      </c>
      <c r="E53" s="9" t="s">
        <v>19</v>
      </c>
      <c r="F53" s="9" t="s">
        <v>19</v>
      </c>
      <c r="G53" s="7">
        <v>0.25</v>
      </c>
      <c r="H53" s="7">
        <v>0.75</v>
      </c>
      <c r="I53" s="9" t="s">
        <v>37</v>
      </c>
      <c r="J53" s="11" t="s">
        <v>29</v>
      </c>
      <c r="K53" s="20">
        <v>2000000</v>
      </c>
      <c r="L53" s="20">
        <v>1800000</v>
      </c>
      <c r="M53" s="29">
        <v>5000</v>
      </c>
      <c r="N53" s="9">
        <v>1967</v>
      </c>
      <c r="O53" s="31">
        <f t="shared" si="0"/>
        <v>20</v>
      </c>
    </row>
    <row r="54" spans="1:15" ht="13.2" x14ac:dyDescent="0.25">
      <c r="A54" s="5" t="s">
        <v>173</v>
      </c>
      <c r="B54" s="5" t="s">
        <v>14</v>
      </c>
      <c r="C54" s="5" t="s">
        <v>14</v>
      </c>
      <c r="D54" s="23">
        <v>20</v>
      </c>
      <c r="E54" s="10" t="s">
        <v>20</v>
      </c>
      <c r="F54" s="10" t="s">
        <v>20</v>
      </c>
      <c r="G54" s="8">
        <v>0.29166666666666669</v>
      </c>
      <c r="H54" s="8">
        <v>0.70833333333333337</v>
      </c>
      <c r="I54" s="10" t="s">
        <v>38</v>
      </c>
      <c r="J54" s="11" t="s">
        <v>28</v>
      </c>
      <c r="K54" s="20">
        <v>2000000</v>
      </c>
      <c r="L54" s="20">
        <v>1500000</v>
      </c>
      <c r="M54" s="30">
        <v>12000</v>
      </c>
      <c r="N54" s="14">
        <v>1734</v>
      </c>
      <c r="O54" s="31">
        <f t="shared" si="0"/>
        <v>18</v>
      </c>
    </row>
    <row r="55" spans="1:15" ht="13.2" x14ac:dyDescent="0.25">
      <c r="A55" t="s">
        <v>92</v>
      </c>
      <c r="B55" t="s">
        <v>93</v>
      </c>
      <c r="C55" s="6" t="s">
        <v>25</v>
      </c>
      <c r="D55" s="22">
        <v>50</v>
      </c>
      <c r="E55" s="9" t="s">
        <v>19</v>
      </c>
      <c r="F55" s="9" t="s">
        <v>19</v>
      </c>
      <c r="G55" s="7">
        <v>0.25</v>
      </c>
      <c r="H55" s="7">
        <v>0.75</v>
      </c>
      <c r="I55" s="9" t="s">
        <v>41</v>
      </c>
      <c r="J55" s="11" t="s">
        <v>29</v>
      </c>
      <c r="K55" s="20">
        <v>2000000</v>
      </c>
      <c r="L55" s="20">
        <v>1500000</v>
      </c>
      <c r="M55" s="29">
        <v>5000</v>
      </c>
      <c r="N55" s="9">
        <v>0</v>
      </c>
      <c r="O55" s="31">
        <f t="shared" si="0"/>
        <v>0</v>
      </c>
    </row>
    <row r="56" spans="1:15" ht="13.2" x14ac:dyDescent="0.25">
      <c r="A56" t="s">
        <v>94</v>
      </c>
      <c r="B56" t="s">
        <v>93</v>
      </c>
      <c r="C56" s="6" t="s">
        <v>25</v>
      </c>
      <c r="D56" s="22">
        <v>0</v>
      </c>
      <c r="E56" s="9" t="s">
        <v>19</v>
      </c>
      <c r="F56" s="9" t="s">
        <v>19</v>
      </c>
      <c r="G56" s="7">
        <v>0.25</v>
      </c>
      <c r="H56" s="7">
        <v>0.75</v>
      </c>
      <c r="I56" s="9" t="s">
        <v>41</v>
      </c>
      <c r="J56" s="11" t="s">
        <v>29</v>
      </c>
      <c r="K56" s="20">
        <v>2000000</v>
      </c>
      <c r="L56" s="20">
        <v>1800000</v>
      </c>
      <c r="M56" s="29">
        <v>4000</v>
      </c>
      <c r="N56" s="9">
        <v>0</v>
      </c>
      <c r="O56" s="31">
        <f t="shared" si="0"/>
        <v>0</v>
      </c>
    </row>
    <row r="57" spans="1:15" ht="13.2" x14ac:dyDescent="0.25">
      <c r="A57" t="s">
        <v>95</v>
      </c>
      <c r="B57" t="s">
        <v>93</v>
      </c>
      <c r="C57" s="6" t="s">
        <v>25</v>
      </c>
      <c r="D57" s="22">
        <v>50</v>
      </c>
      <c r="E57" s="9" t="s">
        <v>19</v>
      </c>
      <c r="F57" s="9" t="s">
        <v>19</v>
      </c>
      <c r="G57" s="7">
        <v>0.25</v>
      </c>
      <c r="H57" s="7">
        <v>0.75</v>
      </c>
      <c r="I57" s="9" t="s">
        <v>37</v>
      </c>
      <c r="J57" s="11" t="s">
        <v>36</v>
      </c>
      <c r="K57" s="20">
        <v>20000000</v>
      </c>
      <c r="L57" s="12">
        <v>10000000</v>
      </c>
      <c r="M57" s="29">
        <v>15000</v>
      </c>
      <c r="N57" s="9">
        <v>0</v>
      </c>
      <c r="O57" s="31">
        <f t="shared" si="0"/>
        <v>0</v>
      </c>
    </row>
    <row r="58" spans="1:15" x14ac:dyDescent="0.25">
      <c r="A58" t="s">
        <v>96</v>
      </c>
      <c r="B58" t="s">
        <v>93</v>
      </c>
      <c r="C58" s="6" t="s">
        <v>25</v>
      </c>
      <c r="D58" s="22">
        <v>50</v>
      </c>
      <c r="E58" s="9" t="s">
        <v>19</v>
      </c>
      <c r="F58" s="9" t="s">
        <v>19</v>
      </c>
      <c r="G58" s="7">
        <v>0.25</v>
      </c>
      <c r="H58" s="7">
        <v>0.75</v>
      </c>
      <c r="I58" s="9" t="s">
        <v>41</v>
      </c>
      <c r="J58" s="11" t="s">
        <v>29</v>
      </c>
      <c r="K58" s="12">
        <v>5000000</v>
      </c>
      <c r="L58" s="12">
        <v>10000000</v>
      </c>
      <c r="M58" s="29">
        <v>4000</v>
      </c>
      <c r="N58" s="9">
        <v>0</v>
      </c>
      <c r="O58" s="31">
        <f t="shared" si="0"/>
        <v>0</v>
      </c>
    </row>
    <row r="59" spans="1:15" ht="13.2" x14ac:dyDescent="0.25">
      <c r="A59" t="s">
        <v>97</v>
      </c>
      <c r="B59" t="s">
        <v>93</v>
      </c>
      <c r="C59" s="6" t="s">
        <v>25</v>
      </c>
      <c r="D59" s="22">
        <v>0</v>
      </c>
      <c r="E59" s="9" t="s">
        <v>19</v>
      </c>
      <c r="F59" s="9" t="s">
        <v>19</v>
      </c>
      <c r="G59" s="7">
        <v>0.25</v>
      </c>
      <c r="H59" s="7">
        <v>0.75</v>
      </c>
      <c r="I59" s="9" t="s">
        <v>41</v>
      </c>
      <c r="J59" s="11" t="s">
        <v>35</v>
      </c>
      <c r="K59" s="20">
        <v>3500000</v>
      </c>
      <c r="L59" s="12">
        <v>2500000</v>
      </c>
      <c r="M59" s="29">
        <v>4000</v>
      </c>
      <c r="N59" s="9">
        <v>0</v>
      </c>
      <c r="O59" s="31">
        <f t="shared" si="0"/>
        <v>0</v>
      </c>
    </row>
    <row r="60" spans="1:15" x14ac:dyDescent="0.25">
      <c r="A60" t="s">
        <v>98</v>
      </c>
      <c r="B60" t="s">
        <v>93</v>
      </c>
      <c r="C60" s="6" t="s">
        <v>25</v>
      </c>
      <c r="D60" s="22">
        <v>50</v>
      </c>
      <c r="E60" s="9" t="s">
        <v>19</v>
      </c>
      <c r="F60" s="9" t="s">
        <v>19</v>
      </c>
      <c r="G60" s="7">
        <v>0.375</v>
      </c>
      <c r="H60" s="7">
        <v>0.70833333333333337</v>
      </c>
      <c r="I60" s="9" t="s">
        <v>42</v>
      </c>
      <c r="J60" s="11" t="s">
        <v>29</v>
      </c>
      <c r="K60" s="12">
        <v>3500000</v>
      </c>
      <c r="L60" s="12">
        <v>2000000</v>
      </c>
      <c r="M60" s="29">
        <v>3000</v>
      </c>
      <c r="N60" s="9">
        <v>0</v>
      </c>
      <c r="O60" s="31">
        <f t="shared" si="0"/>
        <v>0</v>
      </c>
    </row>
    <row r="61" spans="1:15" ht="13.2" x14ac:dyDescent="0.25">
      <c r="A61" t="s">
        <v>99</v>
      </c>
      <c r="B61" t="s">
        <v>93</v>
      </c>
      <c r="C61" s="6" t="s">
        <v>25</v>
      </c>
      <c r="D61" s="22">
        <v>0</v>
      </c>
      <c r="E61" s="9" t="s">
        <v>19</v>
      </c>
      <c r="F61" s="9" t="s">
        <v>19</v>
      </c>
      <c r="G61" s="7">
        <v>0.25</v>
      </c>
      <c r="H61" s="7">
        <v>0.75</v>
      </c>
      <c r="I61" s="9" t="s">
        <v>42</v>
      </c>
      <c r="J61" s="11" t="s">
        <v>29</v>
      </c>
      <c r="K61" s="20">
        <v>4000000</v>
      </c>
      <c r="L61" s="20">
        <v>2500000</v>
      </c>
      <c r="M61" s="29">
        <v>3000</v>
      </c>
      <c r="N61" s="9">
        <v>0</v>
      </c>
      <c r="O61" s="31">
        <f t="shared" si="0"/>
        <v>0</v>
      </c>
    </row>
    <row r="62" spans="1:15" ht="13.2" x14ac:dyDescent="0.25">
      <c r="A62" t="s">
        <v>100</v>
      </c>
      <c r="B62" t="s">
        <v>93</v>
      </c>
      <c r="C62" s="6" t="s">
        <v>25</v>
      </c>
      <c r="D62" s="22">
        <v>0</v>
      </c>
      <c r="E62" s="9" t="s">
        <v>19</v>
      </c>
      <c r="F62" s="9" t="s">
        <v>19</v>
      </c>
      <c r="G62" s="7">
        <v>0.25</v>
      </c>
      <c r="H62" s="7">
        <v>0.75</v>
      </c>
      <c r="I62" s="9" t="s">
        <v>38</v>
      </c>
      <c r="J62" s="11" t="s">
        <v>101</v>
      </c>
      <c r="K62" s="20">
        <v>20000000</v>
      </c>
      <c r="L62" s="20">
        <v>2000000</v>
      </c>
      <c r="M62" s="29">
        <v>3000</v>
      </c>
      <c r="N62" s="9">
        <v>0</v>
      </c>
      <c r="O62" s="31">
        <f t="shared" si="0"/>
        <v>0</v>
      </c>
    </row>
    <row r="63" spans="1:15" ht="13.2" x14ac:dyDescent="0.25">
      <c r="A63" t="s">
        <v>102</v>
      </c>
      <c r="B63" t="s">
        <v>93</v>
      </c>
      <c r="C63" s="6" t="s">
        <v>25</v>
      </c>
      <c r="D63" s="22">
        <v>0</v>
      </c>
      <c r="E63" s="9" t="s">
        <v>19</v>
      </c>
      <c r="F63" s="9" t="s">
        <v>19</v>
      </c>
      <c r="G63" s="7">
        <v>0.25</v>
      </c>
      <c r="H63" s="7">
        <v>0.75</v>
      </c>
      <c r="I63" s="9" t="s">
        <v>38</v>
      </c>
      <c r="J63" s="11" t="s">
        <v>101</v>
      </c>
      <c r="K63" s="20">
        <v>4000000</v>
      </c>
      <c r="L63" s="20">
        <v>4000000</v>
      </c>
      <c r="M63" s="29">
        <v>3000</v>
      </c>
      <c r="N63" s="9">
        <v>0</v>
      </c>
      <c r="O63" s="31">
        <f t="shared" si="0"/>
        <v>0</v>
      </c>
    </row>
    <row r="64" spans="1:15" ht="13.2" x14ac:dyDescent="0.25">
      <c r="A64" t="s">
        <v>103</v>
      </c>
      <c r="B64" t="s">
        <v>93</v>
      </c>
      <c r="C64" s="6" t="s">
        <v>25</v>
      </c>
      <c r="D64" s="22">
        <v>50</v>
      </c>
      <c r="E64" s="9" t="s">
        <v>19</v>
      </c>
      <c r="F64" s="9" t="s">
        <v>19</v>
      </c>
      <c r="G64" s="7">
        <v>0.25</v>
      </c>
      <c r="H64" s="7">
        <v>0.75</v>
      </c>
      <c r="I64" s="9" t="s">
        <v>37</v>
      </c>
      <c r="J64" s="11" t="s">
        <v>27</v>
      </c>
      <c r="K64" s="20">
        <v>5000000</v>
      </c>
      <c r="L64" s="12">
        <v>4000000</v>
      </c>
      <c r="M64" s="29">
        <v>3000</v>
      </c>
      <c r="N64" s="9">
        <v>2000</v>
      </c>
      <c r="O64" s="31">
        <f t="shared" si="0"/>
        <v>20</v>
      </c>
    </row>
    <row r="65" spans="1:15" x14ac:dyDescent="0.25">
      <c r="A65" t="s">
        <v>104</v>
      </c>
      <c r="B65" t="s">
        <v>93</v>
      </c>
      <c r="C65" s="6" t="s">
        <v>25</v>
      </c>
      <c r="D65" s="22" t="s">
        <v>45</v>
      </c>
      <c r="E65" s="9" t="s">
        <v>19</v>
      </c>
      <c r="F65" s="9" t="s">
        <v>19</v>
      </c>
      <c r="G65" s="7">
        <v>0.25</v>
      </c>
      <c r="H65" s="7">
        <v>0.75</v>
      </c>
      <c r="I65" s="9" t="s">
        <v>38</v>
      </c>
      <c r="J65" s="11" t="s">
        <v>101</v>
      </c>
      <c r="K65" s="12">
        <v>3500000</v>
      </c>
      <c r="L65" s="12">
        <v>2000000</v>
      </c>
      <c r="M65" s="29">
        <v>3000</v>
      </c>
      <c r="N65" s="9">
        <v>0</v>
      </c>
      <c r="O65" s="31">
        <f t="shared" si="0"/>
        <v>0</v>
      </c>
    </row>
    <row r="66" spans="1:15" ht="13.2" x14ac:dyDescent="0.25">
      <c r="A66" s="5" t="s">
        <v>185</v>
      </c>
      <c r="B66" s="5" t="s">
        <v>147</v>
      </c>
      <c r="C66" s="5" t="s">
        <v>43</v>
      </c>
      <c r="D66" s="23">
        <v>230</v>
      </c>
      <c r="E66" s="10" t="s">
        <v>19</v>
      </c>
      <c r="F66" s="10" t="s">
        <v>20</v>
      </c>
      <c r="G66" s="8">
        <v>0.41666666666666669</v>
      </c>
      <c r="H66" s="8">
        <v>0.83333333333333337</v>
      </c>
      <c r="I66" s="10" t="s">
        <v>149</v>
      </c>
      <c r="J66" s="11" t="s">
        <v>29</v>
      </c>
      <c r="K66" s="12">
        <v>5000000</v>
      </c>
      <c r="L66" s="20">
        <v>2000000</v>
      </c>
      <c r="M66" s="30">
        <v>5000</v>
      </c>
      <c r="N66" s="14">
        <v>2010</v>
      </c>
      <c r="O66" s="31">
        <f t="shared" si="0"/>
        <v>21</v>
      </c>
    </row>
    <row r="67" spans="1:15" x14ac:dyDescent="0.25">
      <c r="A67" t="s">
        <v>80</v>
      </c>
      <c r="B67" t="s">
        <v>77</v>
      </c>
      <c r="C67" t="s">
        <v>43</v>
      </c>
      <c r="D67" s="22">
        <v>100</v>
      </c>
      <c r="E67" s="9" t="s">
        <v>19</v>
      </c>
      <c r="F67" s="9" t="s">
        <v>19</v>
      </c>
      <c r="G67" s="7">
        <v>0.25</v>
      </c>
      <c r="H67" s="7">
        <v>0.75</v>
      </c>
      <c r="I67" s="9" t="s">
        <v>152</v>
      </c>
      <c r="J67" s="11" t="s">
        <v>35</v>
      </c>
      <c r="K67" s="12">
        <v>8000000</v>
      </c>
      <c r="L67" s="12">
        <v>5000000</v>
      </c>
      <c r="M67" s="29">
        <v>4000</v>
      </c>
      <c r="N67" s="9">
        <v>1982</v>
      </c>
      <c r="O67" s="31">
        <f t="shared" si="0"/>
        <v>20</v>
      </c>
    </row>
    <row r="68" spans="1:15" x14ac:dyDescent="0.25">
      <c r="A68" t="s">
        <v>113</v>
      </c>
      <c r="B68" t="s">
        <v>105</v>
      </c>
      <c r="C68" s="6" t="s">
        <v>25</v>
      </c>
      <c r="D68" s="22">
        <v>0</v>
      </c>
      <c r="E68" s="9" t="s">
        <v>19</v>
      </c>
      <c r="F68" s="9" t="s">
        <v>19</v>
      </c>
      <c r="G68" s="7">
        <v>0.25</v>
      </c>
      <c r="H68" s="7">
        <v>0.75</v>
      </c>
      <c r="I68" s="9" t="s">
        <v>41</v>
      </c>
      <c r="J68" s="11" t="s">
        <v>28</v>
      </c>
      <c r="K68" s="12">
        <v>3500000</v>
      </c>
      <c r="L68" s="12">
        <v>2000000</v>
      </c>
      <c r="M68" s="29">
        <v>3000</v>
      </c>
      <c r="N68" s="9">
        <v>2006</v>
      </c>
      <c r="O68" s="31">
        <f t="shared" si="0"/>
        <v>21</v>
      </c>
    </row>
    <row r="69" spans="1:15" ht="13.2" x14ac:dyDescent="0.25">
      <c r="A69" s="5" t="s">
        <v>157</v>
      </c>
      <c r="B69" s="5" t="s">
        <v>158</v>
      </c>
      <c r="C69" s="5" t="s">
        <v>17</v>
      </c>
      <c r="D69" s="23">
        <v>50</v>
      </c>
      <c r="E69" s="10" t="s">
        <v>19</v>
      </c>
      <c r="F69" s="10" t="s">
        <v>19</v>
      </c>
      <c r="G69" s="8">
        <v>0.41666666666666669</v>
      </c>
      <c r="H69" s="8">
        <v>0.70833333333333337</v>
      </c>
      <c r="I69" s="10" t="s">
        <v>152</v>
      </c>
      <c r="J69" s="11" t="s">
        <v>35</v>
      </c>
      <c r="K69" s="20">
        <v>10000000</v>
      </c>
      <c r="L69" s="20">
        <v>5000000</v>
      </c>
      <c r="M69" s="30">
        <v>20000</v>
      </c>
      <c r="N69" s="14">
        <v>1996</v>
      </c>
      <c r="O69" s="31">
        <f t="shared" si="0"/>
        <v>20</v>
      </c>
    </row>
    <row r="70" spans="1:15" ht="13.2" x14ac:dyDescent="0.25">
      <c r="A70" s="5" t="s">
        <v>89</v>
      </c>
      <c r="B70" s="5" t="s">
        <v>14</v>
      </c>
      <c r="C70" s="5" t="s">
        <v>14</v>
      </c>
      <c r="D70" s="23">
        <v>20</v>
      </c>
      <c r="E70" s="10" t="s">
        <v>20</v>
      </c>
      <c r="F70" s="10" t="s">
        <v>20</v>
      </c>
      <c r="G70" s="8">
        <v>0.33333333333333331</v>
      </c>
      <c r="H70" s="8">
        <v>0.70833333333333337</v>
      </c>
      <c r="I70" s="10" t="s">
        <v>38</v>
      </c>
      <c r="J70" s="11" t="s">
        <v>32</v>
      </c>
      <c r="K70" s="12">
        <v>5000000</v>
      </c>
      <c r="L70" s="20">
        <v>2500000</v>
      </c>
      <c r="M70" s="30">
        <v>7000</v>
      </c>
      <c r="N70" s="14">
        <v>1910</v>
      </c>
      <c r="O70" s="31">
        <f t="shared" si="0"/>
        <v>20</v>
      </c>
    </row>
    <row r="71" spans="1:15" ht="13.2" x14ac:dyDescent="0.25">
      <c r="A71" s="5" t="s">
        <v>174</v>
      </c>
      <c r="B71" s="5" t="s">
        <v>178</v>
      </c>
      <c r="C71" s="5" t="s">
        <v>14</v>
      </c>
      <c r="D71" s="23">
        <v>20</v>
      </c>
      <c r="E71" s="10" t="s">
        <v>20</v>
      </c>
      <c r="F71" s="10" t="s">
        <v>20</v>
      </c>
      <c r="G71" s="8">
        <v>0.29166666666666669</v>
      </c>
      <c r="H71" s="8">
        <v>0.70833333333333337</v>
      </c>
      <c r="I71" s="10" t="s">
        <v>41</v>
      </c>
      <c r="J71" s="11" t="s">
        <v>28</v>
      </c>
      <c r="K71" s="20">
        <v>2000000</v>
      </c>
      <c r="L71" s="20">
        <v>1500000</v>
      </c>
      <c r="M71" s="30">
        <v>5000</v>
      </c>
      <c r="N71" s="14">
        <v>300</v>
      </c>
      <c r="O71" s="31">
        <f t="shared" ref="O71:O125" si="1">INT((N71-1)/100)+1</f>
        <v>3</v>
      </c>
    </row>
    <row r="72" spans="1:15" x14ac:dyDescent="0.25">
      <c r="A72" t="s">
        <v>151</v>
      </c>
      <c r="B72" t="s">
        <v>43</v>
      </c>
      <c r="C72" t="s">
        <v>43</v>
      </c>
      <c r="D72" s="22">
        <v>100</v>
      </c>
      <c r="E72" s="9" t="s">
        <v>19</v>
      </c>
      <c r="F72" s="9" t="s">
        <v>19</v>
      </c>
      <c r="G72" s="7">
        <v>0.25</v>
      </c>
      <c r="H72" s="7">
        <v>0.75</v>
      </c>
      <c r="I72" s="9" t="s">
        <v>37</v>
      </c>
      <c r="J72" s="11" t="s">
        <v>35</v>
      </c>
      <c r="K72" s="12">
        <v>50000000</v>
      </c>
      <c r="L72" s="12">
        <v>30000000</v>
      </c>
      <c r="M72" s="29">
        <v>3000</v>
      </c>
      <c r="N72" s="9">
        <v>1961</v>
      </c>
      <c r="O72" s="31">
        <f t="shared" si="1"/>
        <v>20</v>
      </c>
    </row>
    <row r="73" spans="1:15" ht="13.2" x14ac:dyDescent="0.25">
      <c r="A73" s="5" t="s">
        <v>91</v>
      </c>
      <c r="B73" s="5" t="s">
        <v>14</v>
      </c>
      <c r="C73" s="5" t="s">
        <v>14</v>
      </c>
      <c r="D73" s="22">
        <v>0</v>
      </c>
      <c r="E73" s="10" t="s">
        <v>20</v>
      </c>
      <c r="F73" s="10" t="s">
        <v>20</v>
      </c>
      <c r="G73" s="8">
        <v>0.25</v>
      </c>
      <c r="H73" s="8">
        <v>0.70833333333333337</v>
      </c>
      <c r="I73" s="10" t="s">
        <v>38</v>
      </c>
      <c r="J73" s="11" t="s">
        <v>27</v>
      </c>
      <c r="K73" s="20">
        <v>3000000</v>
      </c>
      <c r="L73" s="20">
        <v>1000000</v>
      </c>
      <c r="M73" s="30">
        <v>400</v>
      </c>
      <c r="N73" s="14">
        <v>1523</v>
      </c>
      <c r="O73" s="31">
        <f t="shared" si="1"/>
        <v>16</v>
      </c>
    </row>
    <row r="74" spans="1:15" ht="13.2" x14ac:dyDescent="0.25">
      <c r="A74" s="5" t="s">
        <v>175</v>
      </c>
      <c r="B74" s="5" t="s">
        <v>178</v>
      </c>
      <c r="C74" s="5" t="s">
        <v>14</v>
      </c>
      <c r="D74" s="23">
        <v>20</v>
      </c>
      <c r="E74" s="10" t="s">
        <v>134</v>
      </c>
      <c r="F74" s="10" t="s">
        <v>19</v>
      </c>
      <c r="G74" s="8">
        <v>0.33333333333333331</v>
      </c>
      <c r="H74" s="8">
        <v>0.70833333333333337</v>
      </c>
      <c r="I74" s="10" t="s">
        <v>41</v>
      </c>
      <c r="J74" s="11" t="s">
        <v>28</v>
      </c>
      <c r="K74" s="12">
        <v>5000000</v>
      </c>
      <c r="L74" s="20">
        <v>2500000</v>
      </c>
      <c r="M74" s="30">
        <v>7000</v>
      </c>
      <c r="N74" s="14">
        <v>800</v>
      </c>
      <c r="O74" s="31">
        <f t="shared" si="1"/>
        <v>8</v>
      </c>
    </row>
    <row r="75" spans="1:15" ht="13.2" x14ac:dyDescent="0.25">
      <c r="A75" t="s">
        <v>86</v>
      </c>
      <c r="B75" s="5" t="s">
        <v>18</v>
      </c>
      <c r="C75" s="5" t="s">
        <v>18</v>
      </c>
      <c r="D75" s="23">
        <v>15</v>
      </c>
      <c r="E75" s="10" t="s">
        <v>19</v>
      </c>
      <c r="F75" s="10" t="s">
        <v>19</v>
      </c>
      <c r="G75" s="8">
        <v>0.375</v>
      </c>
      <c r="H75" s="8">
        <v>0.70833333333333337</v>
      </c>
      <c r="I75" s="10" t="s">
        <v>149</v>
      </c>
      <c r="J75" s="11" t="s">
        <v>32</v>
      </c>
      <c r="K75" s="20">
        <v>4000000</v>
      </c>
      <c r="L75" s="20">
        <v>2000000</v>
      </c>
      <c r="M75" s="30">
        <v>6000</v>
      </c>
      <c r="N75" s="14">
        <v>1969</v>
      </c>
      <c r="O75" s="31">
        <f t="shared" si="1"/>
        <v>20</v>
      </c>
    </row>
    <row r="76" spans="1:15" ht="13.2" x14ac:dyDescent="0.25">
      <c r="A76" t="s">
        <v>55</v>
      </c>
      <c r="B76" t="s">
        <v>56</v>
      </c>
      <c r="C76" t="s">
        <v>12</v>
      </c>
      <c r="D76" s="22">
        <v>0</v>
      </c>
      <c r="E76" s="9" t="s">
        <v>19</v>
      </c>
      <c r="F76" s="9" t="s">
        <v>19</v>
      </c>
      <c r="G76" s="7">
        <v>0.25</v>
      </c>
      <c r="H76" s="7">
        <v>0.75</v>
      </c>
      <c r="I76" s="9" t="s">
        <v>37</v>
      </c>
      <c r="J76" s="11" t="s">
        <v>33</v>
      </c>
      <c r="K76" s="20">
        <v>5000000</v>
      </c>
      <c r="L76" s="20">
        <v>2000000</v>
      </c>
      <c r="M76" s="29">
        <v>2500</v>
      </c>
      <c r="N76" s="9">
        <v>0</v>
      </c>
      <c r="O76" s="31">
        <f t="shared" si="1"/>
        <v>0</v>
      </c>
    </row>
    <row r="77" spans="1:15" ht="13.2" x14ac:dyDescent="0.25">
      <c r="A77" t="s">
        <v>164</v>
      </c>
      <c r="B77" t="s">
        <v>57</v>
      </c>
      <c r="C77" t="s">
        <v>12</v>
      </c>
      <c r="D77" s="22">
        <v>0</v>
      </c>
      <c r="E77" s="9" t="s">
        <v>19</v>
      </c>
      <c r="F77" s="9" t="s">
        <v>19</v>
      </c>
      <c r="G77" s="7">
        <v>0.375</v>
      </c>
      <c r="H77" s="7">
        <v>0.70833333333333337</v>
      </c>
      <c r="I77" s="9" t="s">
        <v>42</v>
      </c>
      <c r="J77" s="11" t="s">
        <v>32</v>
      </c>
      <c r="K77" s="20">
        <v>10000000</v>
      </c>
      <c r="L77" s="20">
        <v>5000000</v>
      </c>
      <c r="M77" s="29">
        <v>1000</v>
      </c>
      <c r="N77" s="9">
        <v>1658</v>
      </c>
      <c r="O77" s="31">
        <f t="shared" si="1"/>
        <v>17</v>
      </c>
    </row>
    <row r="78" spans="1:15" ht="13.2" x14ac:dyDescent="0.25">
      <c r="A78" t="s">
        <v>61</v>
      </c>
      <c r="B78" t="s">
        <v>62</v>
      </c>
      <c r="C78" t="s">
        <v>12</v>
      </c>
      <c r="D78" s="22">
        <v>20</v>
      </c>
      <c r="E78" s="9" t="s">
        <v>19</v>
      </c>
      <c r="F78" s="9" t="s">
        <v>19</v>
      </c>
      <c r="G78" s="7">
        <v>0.25</v>
      </c>
      <c r="H78" s="7">
        <v>0.75</v>
      </c>
      <c r="I78" s="9" t="s">
        <v>37</v>
      </c>
      <c r="J78" s="11" t="s">
        <v>29</v>
      </c>
      <c r="K78" s="20">
        <v>10000000</v>
      </c>
      <c r="L78" s="20">
        <v>5000000</v>
      </c>
      <c r="M78" s="29">
        <v>3000</v>
      </c>
      <c r="N78" s="9">
        <v>0</v>
      </c>
      <c r="O78" s="31">
        <f t="shared" si="1"/>
        <v>0</v>
      </c>
    </row>
    <row r="79" spans="1:15" ht="13.2" x14ac:dyDescent="0.25">
      <c r="A79" t="s">
        <v>63</v>
      </c>
      <c r="B79" t="s">
        <v>59</v>
      </c>
      <c r="C79" t="s">
        <v>12</v>
      </c>
      <c r="D79" s="22">
        <v>0</v>
      </c>
      <c r="E79" s="9" t="s">
        <v>19</v>
      </c>
      <c r="F79" s="9" t="s">
        <v>19</v>
      </c>
      <c r="G79" s="7">
        <v>0.25</v>
      </c>
      <c r="H79" s="7">
        <v>0.75</v>
      </c>
      <c r="I79" s="9" t="s">
        <v>42</v>
      </c>
      <c r="J79" s="11" t="s">
        <v>33</v>
      </c>
      <c r="K79" s="20">
        <v>10000000</v>
      </c>
      <c r="L79" s="12">
        <v>5000000</v>
      </c>
      <c r="M79" s="29">
        <v>3500</v>
      </c>
      <c r="N79" s="9">
        <v>0</v>
      </c>
      <c r="O79" s="31">
        <f t="shared" si="1"/>
        <v>0</v>
      </c>
    </row>
    <row r="80" spans="1:15" ht="13.2" x14ac:dyDescent="0.25">
      <c r="A80" t="s">
        <v>64</v>
      </c>
      <c r="B80" t="s">
        <v>62</v>
      </c>
      <c r="C80" t="s">
        <v>12</v>
      </c>
      <c r="D80" s="22">
        <v>0</v>
      </c>
      <c r="E80" s="9" t="s">
        <v>19</v>
      </c>
      <c r="F80" s="9" t="s">
        <v>19</v>
      </c>
      <c r="G80" s="7">
        <v>0.25</v>
      </c>
      <c r="H80" s="7">
        <v>0.75</v>
      </c>
      <c r="I80" s="9" t="s">
        <v>149</v>
      </c>
      <c r="J80" s="11" t="s">
        <v>36</v>
      </c>
      <c r="K80" s="20">
        <v>3500000</v>
      </c>
      <c r="L80" s="20">
        <v>1500000</v>
      </c>
      <c r="M80" s="29">
        <v>2000</v>
      </c>
      <c r="N80" s="9">
        <v>2016</v>
      </c>
      <c r="O80" s="31">
        <f t="shared" si="1"/>
        <v>21</v>
      </c>
    </row>
    <row r="81" spans="1:15" x14ac:dyDescent="0.25">
      <c r="A81" t="s">
        <v>65</v>
      </c>
      <c r="B81" t="s">
        <v>66</v>
      </c>
      <c r="C81" t="s">
        <v>12</v>
      </c>
      <c r="D81" s="22">
        <v>15</v>
      </c>
      <c r="E81" s="9" t="s">
        <v>19</v>
      </c>
      <c r="F81" s="9" t="s">
        <v>19</v>
      </c>
      <c r="G81" s="7">
        <v>0.25</v>
      </c>
      <c r="H81" s="7">
        <v>0.75</v>
      </c>
      <c r="I81" s="9" t="s">
        <v>149</v>
      </c>
      <c r="J81" s="11" t="s">
        <v>27</v>
      </c>
      <c r="K81" s="12">
        <v>3500000</v>
      </c>
      <c r="L81" s="12">
        <v>2000000</v>
      </c>
      <c r="M81" s="29">
        <v>1500</v>
      </c>
      <c r="N81" s="9">
        <v>1790</v>
      </c>
      <c r="O81" s="31">
        <f t="shared" si="1"/>
        <v>18</v>
      </c>
    </row>
    <row r="82" spans="1:15" ht="13.2" x14ac:dyDescent="0.25">
      <c r="A82" t="s">
        <v>61</v>
      </c>
      <c r="B82" t="s">
        <v>62</v>
      </c>
      <c r="C82" t="s">
        <v>12</v>
      </c>
      <c r="D82" s="22">
        <v>20</v>
      </c>
      <c r="E82" s="9" t="s">
        <v>19</v>
      </c>
      <c r="F82" s="9" t="s">
        <v>19</v>
      </c>
      <c r="G82" s="7">
        <v>0.25</v>
      </c>
      <c r="H82" s="7">
        <v>0.75</v>
      </c>
      <c r="I82" s="9" t="s">
        <v>37</v>
      </c>
      <c r="J82" s="11" t="s">
        <v>29</v>
      </c>
      <c r="K82" s="20">
        <v>4000000</v>
      </c>
      <c r="L82" s="20">
        <v>2000000</v>
      </c>
      <c r="M82" s="29">
        <v>3000</v>
      </c>
      <c r="N82" s="9">
        <v>0</v>
      </c>
      <c r="O82" s="31">
        <f t="shared" si="1"/>
        <v>0</v>
      </c>
    </row>
    <row r="83" spans="1:15" x14ac:dyDescent="0.25">
      <c r="A83" t="s">
        <v>112</v>
      </c>
      <c r="B83" t="s">
        <v>105</v>
      </c>
      <c r="C83" s="6" t="s">
        <v>25</v>
      </c>
      <c r="D83" s="22">
        <v>30</v>
      </c>
      <c r="E83" s="9" t="s">
        <v>19</v>
      </c>
      <c r="F83" s="9" t="s">
        <v>19</v>
      </c>
      <c r="G83" s="7">
        <v>0.25</v>
      </c>
      <c r="H83" s="7">
        <v>0.75</v>
      </c>
      <c r="I83" s="9" t="s">
        <v>149</v>
      </c>
      <c r="J83" s="11" t="s">
        <v>29</v>
      </c>
      <c r="K83" s="12">
        <v>5000000</v>
      </c>
      <c r="L83" s="12">
        <v>2000000</v>
      </c>
      <c r="M83" s="29">
        <v>3000</v>
      </c>
      <c r="N83" s="9">
        <v>0</v>
      </c>
      <c r="O83" s="31">
        <f t="shared" si="1"/>
        <v>0</v>
      </c>
    </row>
    <row r="84" spans="1:15" ht="13.2" x14ac:dyDescent="0.25">
      <c r="A84" s="5" t="s">
        <v>159</v>
      </c>
      <c r="B84" s="5" t="s">
        <v>17</v>
      </c>
      <c r="C84" s="5" t="s">
        <v>17</v>
      </c>
      <c r="D84" s="23">
        <v>0</v>
      </c>
      <c r="E84" s="10" t="s">
        <v>20</v>
      </c>
      <c r="F84" s="10" t="s">
        <v>20</v>
      </c>
      <c r="G84" s="8">
        <v>0.33333333333333331</v>
      </c>
      <c r="H84" s="8">
        <v>0.70833333333333337</v>
      </c>
      <c r="I84" s="10" t="s">
        <v>38</v>
      </c>
      <c r="J84" s="11" t="s">
        <v>29</v>
      </c>
      <c r="K84" s="20">
        <v>3500000</v>
      </c>
      <c r="L84" s="20">
        <v>1500000</v>
      </c>
      <c r="M84" s="30">
        <v>3000</v>
      </c>
      <c r="N84" s="9">
        <v>0</v>
      </c>
      <c r="O84" s="31">
        <f t="shared" si="1"/>
        <v>0</v>
      </c>
    </row>
    <row r="85" spans="1:15" x14ac:dyDescent="0.25">
      <c r="A85" t="s">
        <v>111</v>
      </c>
      <c r="B85" t="s">
        <v>105</v>
      </c>
      <c r="C85" s="6" t="s">
        <v>25</v>
      </c>
      <c r="D85" s="22">
        <v>200</v>
      </c>
      <c r="E85" s="9" t="s">
        <v>19</v>
      </c>
      <c r="F85" s="9" t="s">
        <v>19</v>
      </c>
      <c r="G85" s="7">
        <v>0.25</v>
      </c>
      <c r="H85" s="7">
        <v>0.75</v>
      </c>
      <c r="I85" s="9" t="s">
        <v>42</v>
      </c>
      <c r="J85" s="11" t="s">
        <v>29</v>
      </c>
      <c r="K85" s="12">
        <v>3500000</v>
      </c>
      <c r="L85" s="12">
        <v>2000000</v>
      </c>
      <c r="M85" s="29">
        <v>3000</v>
      </c>
      <c r="N85" s="9">
        <v>2018</v>
      </c>
      <c r="O85" s="31">
        <f t="shared" si="1"/>
        <v>21</v>
      </c>
    </row>
    <row r="86" spans="1:15" ht="13.2" x14ac:dyDescent="0.25">
      <c r="A86" s="5" t="s">
        <v>176</v>
      </c>
      <c r="B86" s="5" t="s">
        <v>179</v>
      </c>
      <c r="C86" s="5" t="s">
        <v>14</v>
      </c>
      <c r="D86" s="23">
        <v>0</v>
      </c>
      <c r="E86" s="10" t="s">
        <v>20</v>
      </c>
      <c r="F86" s="10" t="s">
        <v>20</v>
      </c>
      <c r="G86" s="8">
        <v>0.29166666666666669</v>
      </c>
      <c r="H86" s="8">
        <v>0.70833333333333337</v>
      </c>
      <c r="I86" s="10" t="s">
        <v>38</v>
      </c>
      <c r="J86" s="11" t="s">
        <v>28</v>
      </c>
      <c r="K86" s="20">
        <v>4000000</v>
      </c>
      <c r="L86" s="20">
        <v>2000000</v>
      </c>
      <c r="M86" s="30">
        <v>4000</v>
      </c>
      <c r="N86" s="14">
        <v>1559</v>
      </c>
      <c r="O86" s="31">
        <f t="shared" si="1"/>
        <v>16</v>
      </c>
    </row>
    <row r="87" spans="1:15" ht="13.2" x14ac:dyDescent="0.25">
      <c r="A87" t="s">
        <v>24</v>
      </c>
      <c r="B87" t="s">
        <v>105</v>
      </c>
      <c r="C87" s="6" t="s">
        <v>25</v>
      </c>
      <c r="D87" s="22">
        <v>0</v>
      </c>
      <c r="E87" s="9" t="s">
        <v>19</v>
      </c>
      <c r="F87" s="9" t="s">
        <v>19</v>
      </c>
      <c r="G87" s="7">
        <v>0.25</v>
      </c>
      <c r="H87" s="7">
        <v>0.75</v>
      </c>
      <c r="I87" s="10" t="s">
        <v>41</v>
      </c>
      <c r="J87" s="11" t="s">
        <v>29</v>
      </c>
      <c r="K87" s="20">
        <v>20000000</v>
      </c>
      <c r="L87" s="12">
        <v>10000000</v>
      </c>
      <c r="M87" s="29">
        <v>30000</v>
      </c>
      <c r="N87" s="9">
        <v>0</v>
      </c>
      <c r="O87" s="31">
        <f t="shared" si="1"/>
        <v>0</v>
      </c>
    </row>
    <row r="88" spans="1:15" ht="13.2" x14ac:dyDescent="0.25">
      <c r="A88" t="s">
        <v>106</v>
      </c>
      <c r="B88" t="s">
        <v>105</v>
      </c>
      <c r="C88" s="6" t="s">
        <v>25</v>
      </c>
      <c r="D88" s="22">
        <v>20</v>
      </c>
      <c r="E88" s="9" t="s">
        <v>19</v>
      </c>
      <c r="F88" s="9" t="s">
        <v>19</v>
      </c>
      <c r="G88" s="7">
        <v>0.25</v>
      </c>
      <c r="H88" s="7">
        <v>0.75</v>
      </c>
      <c r="I88" s="9" t="s">
        <v>41</v>
      </c>
      <c r="J88" s="11" t="s">
        <v>36</v>
      </c>
      <c r="K88" s="20">
        <v>4000000</v>
      </c>
      <c r="L88" s="12">
        <v>2500000</v>
      </c>
      <c r="M88" s="29">
        <v>5000</v>
      </c>
      <c r="N88" s="9">
        <v>1962</v>
      </c>
      <c r="O88" s="31">
        <f t="shared" si="1"/>
        <v>20</v>
      </c>
    </row>
    <row r="89" spans="1:15" ht="13.2" x14ac:dyDescent="0.25">
      <c r="A89" t="s">
        <v>82</v>
      </c>
      <c r="B89" t="s">
        <v>77</v>
      </c>
      <c r="C89" t="s">
        <v>43</v>
      </c>
      <c r="D89" s="22">
        <v>12000</v>
      </c>
      <c r="E89" s="9" t="s">
        <v>19</v>
      </c>
      <c r="F89" s="9" t="s">
        <v>19</v>
      </c>
      <c r="G89" s="7">
        <v>0.25</v>
      </c>
      <c r="H89" s="7">
        <v>0.75</v>
      </c>
      <c r="I89" s="9" t="s">
        <v>149</v>
      </c>
      <c r="J89" s="11" t="s">
        <v>29</v>
      </c>
      <c r="K89" s="20">
        <v>5000000</v>
      </c>
      <c r="L89" s="12">
        <v>2000000</v>
      </c>
      <c r="M89" s="29">
        <v>1000</v>
      </c>
      <c r="N89" s="9">
        <v>2016</v>
      </c>
      <c r="O89" s="31">
        <f t="shared" si="1"/>
        <v>21</v>
      </c>
    </row>
    <row r="90" spans="1:15" x14ac:dyDescent="0.25">
      <c r="A90" t="s">
        <v>50</v>
      </c>
      <c r="B90" t="s">
        <v>12</v>
      </c>
      <c r="C90" t="s">
        <v>12</v>
      </c>
      <c r="D90" s="22">
        <v>20</v>
      </c>
      <c r="E90" s="9" t="s">
        <v>19</v>
      </c>
      <c r="F90" s="9" t="s">
        <v>19</v>
      </c>
      <c r="G90" s="7">
        <v>0.20833333333333334</v>
      </c>
      <c r="H90" s="7">
        <v>0.875</v>
      </c>
      <c r="I90" s="9" t="s">
        <v>37</v>
      </c>
      <c r="J90" s="11" t="s">
        <v>36</v>
      </c>
      <c r="K90" s="12">
        <v>1000000</v>
      </c>
      <c r="L90" s="12">
        <v>50000</v>
      </c>
      <c r="M90" s="29">
        <v>3000</v>
      </c>
      <c r="N90" s="9">
        <v>1780</v>
      </c>
      <c r="O90" s="31">
        <f t="shared" si="1"/>
        <v>18</v>
      </c>
    </row>
    <row r="91" spans="1:15" ht="13.2" x14ac:dyDescent="0.25">
      <c r="A91" s="5" t="s">
        <v>169</v>
      </c>
      <c r="B91" s="5" t="s">
        <v>170</v>
      </c>
      <c r="C91" s="5" t="s">
        <v>16</v>
      </c>
      <c r="D91" s="23">
        <v>25</v>
      </c>
      <c r="E91" s="10" t="s">
        <v>20</v>
      </c>
      <c r="F91" s="10" t="s">
        <v>20</v>
      </c>
      <c r="G91" s="8">
        <v>0.29166666666666669</v>
      </c>
      <c r="H91" s="8">
        <v>0.70833333333333337</v>
      </c>
      <c r="I91" s="10" t="s">
        <v>149</v>
      </c>
      <c r="J91" s="11" t="s">
        <v>28</v>
      </c>
      <c r="K91" s="20">
        <v>4000000</v>
      </c>
      <c r="L91" s="20">
        <v>2000000</v>
      </c>
      <c r="M91" s="30">
        <v>5000</v>
      </c>
      <c r="N91" s="14">
        <v>1761</v>
      </c>
      <c r="O91" s="31">
        <f t="shared" si="1"/>
        <v>18</v>
      </c>
    </row>
    <row r="92" spans="1:15" ht="13.2" x14ac:dyDescent="0.25">
      <c r="A92" s="5" t="s">
        <v>166</v>
      </c>
      <c r="B92" s="5" t="s">
        <v>167</v>
      </c>
      <c r="C92" s="5" t="s">
        <v>16</v>
      </c>
      <c r="D92" s="23">
        <v>50</v>
      </c>
      <c r="E92" s="10" t="s">
        <v>19</v>
      </c>
      <c r="F92" s="10" t="s">
        <v>20</v>
      </c>
      <c r="G92" s="8">
        <v>0.25</v>
      </c>
      <c r="H92" s="8">
        <v>0.83333333333333337</v>
      </c>
      <c r="I92" s="10" t="s">
        <v>41</v>
      </c>
      <c r="J92" s="11" t="s">
        <v>33</v>
      </c>
      <c r="K92" s="20">
        <v>8000000</v>
      </c>
      <c r="L92" s="20">
        <v>4000000</v>
      </c>
      <c r="M92" s="30">
        <v>25000</v>
      </c>
      <c r="N92" s="9">
        <v>0</v>
      </c>
      <c r="O92" s="31">
        <f t="shared" si="1"/>
        <v>0</v>
      </c>
    </row>
    <row r="93" spans="1:15" x14ac:dyDescent="0.25">
      <c r="A93" t="s">
        <v>114</v>
      </c>
      <c r="B93" t="s">
        <v>105</v>
      </c>
      <c r="C93" s="6" t="s">
        <v>25</v>
      </c>
      <c r="D93" s="22">
        <v>0</v>
      </c>
      <c r="E93" s="9" t="s">
        <v>19</v>
      </c>
      <c r="F93" s="9" t="s">
        <v>19</v>
      </c>
      <c r="G93" s="7">
        <v>0.25</v>
      </c>
      <c r="H93" s="7">
        <v>0.75</v>
      </c>
      <c r="I93" s="9" t="s">
        <v>38</v>
      </c>
      <c r="J93" s="11" t="s">
        <v>101</v>
      </c>
      <c r="K93" s="12">
        <v>5000000</v>
      </c>
      <c r="L93" s="12">
        <v>4000000</v>
      </c>
      <c r="M93" s="29">
        <v>3000</v>
      </c>
      <c r="N93" s="9">
        <v>0</v>
      </c>
      <c r="O93" s="31">
        <f t="shared" si="1"/>
        <v>0</v>
      </c>
    </row>
    <row r="94" spans="1:15" ht="13.2" x14ac:dyDescent="0.25">
      <c r="A94" t="s">
        <v>115</v>
      </c>
      <c r="B94" t="s">
        <v>105</v>
      </c>
      <c r="C94" s="6" t="s">
        <v>25</v>
      </c>
      <c r="D94" s="22">
        <v>0</v>
      </c>
      <c r="E94" s="9" t="s">
        <v>19</v>
      </c>
      <c r="F94" s="9" t="s">
        <v>19</v>
      </c>
      <c r="G94" s="7">
        <v>0.25</v>
      </c>
      <c r="H94" s="7">
        <v>0.75</v>
      </c>
      <c r="I94" s="9" t="s">
        <v>38</v>
      </c>
      <c r="J94" s="11" t="s">
        <v>101</v>
      </c>
      <c r="K94" s="20">
        <v>2000000</v>
      </c>
      <c r="L94" s="12">
        <v>1600000</v>
      </c>
      <c r="M94" s="29">
        <v>3000</v>
      </c>
      <c r="N94" s="9">
        <v>0</v>
      </c>
      <c r="O94" s="31">
        <f t="shared" si="1"/>
        <v>0</v>
      </c>
    </row>
    <row r="95" spans="1:15" ht="13.2" x14ac:dyDescent="0.25">
      <c r="A95" t="s">
        <v>116</v>
      </c>
      <c r="B95" t="s">
        <v>105</v>
      </c>
      <c r="C95" s="6" t="s">
        <v>25</v>
      </c>
      <c r="D95" s="22">
        <v>150</v>
      </c>
      <c r="E95" s="9" t="s">
        <v>19</v>
      </c>
      <c r="F95" s="9" t="s">
        <v>19</v>
      </c>
      <c r="G95" s="7">
        <v>0.25</v>
      </c>
      <c r="H95" s="7">
        <v>0.75</v>
      </c>
      <c r="I95" s="9" t="s">
        <v>42</v>
      </c>
      <c r="J95" s="11" t="s">
        <v>36</v>
      </c>
      <c r="K95" s="20">
        <v>2000000</v>
      </c>
      <c r="L95" s="20">
        <v>1800000</v>
      </c>
      <c r="M95" s="29">
        <v>3000</v>
      </c>
      <c r="N95" s="9">
        <v>2017</v>
      </c>
      <c r="O95" s="31">
        <f t="shared" si="1"/>
        <v>21</v>
      </c>
    </row>
    <row r="96" spans="1:15" ht="13.2" x14ac:dyDescent="0.25">
      <c r="A96" t="s">
        <v>117</v>
      </c>
      <c r="B96" t="s">
        <v>105</v>
      </c>
      <c r="C96" s="6" t="s">
        <v>25</v>
      </c>
      <c r="D96" s="22">
        <v>0</v>
      </c>
      <c r="E96" s="9" t="s">
        <v>19</v>
      </c>
      <c r="F96" s="9" t="s">
        <v>19</v>
      </c>
      <c r="G96" s="7">
        <v>0.25</v>
      </c>
      <c r="H96" s="7">
        <v>0.75</v>
      </c>
      <c r="I96" s="9" t="s">
        <v>38</v>
      </c>
      <c r="J96" s="11" t="s">
        <v>101</v>
      </c>
      <c r="K96" s="20">
        <v>2000000</v>
      </c>
      <c r="L96" s="12">
        <v>1000000</v>
      </c>
      <c r="M96" s="29">
        <v>3000</v>
      </c>
      <c r="N96" s="9">
        <v>2000</v>
      </c>
      <c r="O96" s="31">
        <f t="shared" si="1"/>
        <v>20</v>
      </c>
    </row>
    <row r="97" spans="1:15" ht="13.2" x14ac:dyDescent="0.25">
      <c r="A97" s="5" t="s">
        <v>177</v>
      </c>
      <c r="B97" s="5" t="s">
        <v>180</v>
      </c>
      <c r="C97" s="5" t="s">
        <v>14</v>
      </c>
      <c r="D97" s="23">
        <v>0</v>
      </c>
      <c r="E97" s="10" t="s">
        <v>20</v>
      </c>
      <c r="F97" s="10" t="s">
        <v>20</v>
      </c>
      <c r="G97" s="8">
        <v>0.33333333333333331</v>
      </c>
      <c r="H97" s="8">
        <v>0.70833333333333337</v>
      </c>
      <c r="I97" s="10" t="s">
        <v>41</v>
      </c>
      <c r="J97" s="11" t="s">
        <v>28</v>
      </c>
      <c r="K97" s="20">
        <v>3500000</v>
      </c>
      <c r="L97" s="20">
        <v>1000000</v>
      </c>
      <c r="M97" s="30">
        <v>4000</v>
      </c>
      <c r="N97" s="14">
        <v>1500</v>
      </c>
      <c r="O97" s="31">
        <f t="shared" si="1"/>
        <v>15</v>
      </c>
    </row>
    <row r="98" spans="1:15" x14ac:dyDescent="0.25">
      <c r="A98" t="s">
        <v>81</v>
      </c>
      <c r="B98" t="s">
        <v>77</v>
      </c>
      <c r="C98" t="s">
        <v>43</v>
      </c>
      <c r="D98" s="22">
        <v>200</v>
      </c>
      <c r="E98" s="9" t="s">
        <v>19</v>
      </c>
      <c r="F98" s="9" t="s">
        <v>19</v>
      </c>
      <c r="G98" s="7">
        <v>0.25</v>
      </c>
      <c r="H98" s="7">
        <v>0.75</v>
      </c>
      <c r="I98" s="9" t="s">
        <v>42</v>
      </c>
      <c r="J98" s="11" t="s">
        <v>29</v>
      </c>
      <c r="K98" s="12">
        <v>1000000</v>
      </c>
      <c r="L98" s="12">
        <v>50000</v>
      </c>
      <c r="M98" s="29">
        <v>3000</v>
      </c>
      <c r="N98" s="9">
        <v>1997</v>
      </c>
      <c r="O98" s="31">
        <f t="shared" si="1"/>
        <v>20</v>
      </c>
    </row>
    <row r="99" spans="1:15" ht="13.2" x14ac:dyDescent="0.25">
      <c r="A99" s="5" t="s">
        <v>155</v>
      </c>
      <c r="B99" s="5" t="s">
        <v>17</v>
      </c>
      <c r="C99" s="5" t="s">
        <v>17</v>
      </c>
      <c r="D99" s="23">
        <v>40</v>
      </c>
      <c r="E99" s="10" t="s">
        <v>20</v>
      </c>
      <c r="F99" s="10" t="s">
        <v>20</v>
      </c>
      <c r="G99" s="8">
        <v>0.27083333333333331</v>
      </c>
      <c r="H99" s="8">
        <v>0.75</v>
      </c>
      <c r="I99" s="10" t="s">
        <v>41</v>
      </c>
      <c r="J99" s="11" t="s">
        <v>36</v>
      </c>
      <c r="K99" s="12">
        <v>5000000</v>
      </c>
      <c r="L99" s="20">
        <v>2000000</v>
      </c>
      <c r="M99" s="30">
        <v>4000</v>
      </c>
      <c r="N99" s="9">
        <v>0</v>
      </c>
      <c r="O99" s="31">
        <f t="shared" si="1"/>
        <v>0</v>
      </c>
    </row>
    <row r="100" spans="1:15" ht="13.2" x14ac:dyDescent="0.25">
      <c r="A100" s="5" t="s">
        <v>196</v>
      </c>
      <c r="B100" s="5" t="s">
        <v>59</v>
      </c>
      <c r="C100" s="5" t="s">
        <v>12</v>
      </c>
      <c r="D100" s="23">
        <v>30</v>
      </c>
      <c r="E100" s="10" t="s">
        <v>20</v>
      </c>
      <c r="F100" s="10" t="s">
        <v>20</v>
      </c>
      <c r="G100" s="8">
        <v>0.29166666666666669</v>
      </c>
      <c r="H100" s="8">
        <v>0.70833333333333337</v>
      </c>
      <c r="I100" s="10" t="s">
        <v>163</v>
      </c>
      <c r="J100" s="11" t="s">
        <v>36</v>
      </c>
      <c r="K100" s="20">
        <v>2000000</v>
      </c>
      <c r="L100" s="20">
        <v>500000</v>
      </c>
      <c r="M100" s="30">
        <v>3000</v>
      </c>
      <c r="N100" s="9">
        <v>0</v>
      </c>
      <c r="O100" s="31">
        <f t="shared" si="1"/>
        <v>0</v>
      </c>
    </row>
    <row r="101" spans="1:15" ht="13.2" x14ac:dyDescent="0.25">
      <c r="A101" t="s">
        <v>88</v>
      </c>
      <c r="B101" s="5" t="s">
        <v>18</v>
      </c>
      <c r="C101" s="5" t="s">
        <v>18</v>
      </c>
      <c r="D101" s="23">
        <v>0</v>
      </c>
      <c r="E101" s="10" t="s">
        <v>20</v>
      </c>
      <c r="F101" s="10" t="s">
        <v>20</v>
      </c>
      <c r="G101" s="8">
        <v>0.3125</v>
      </c>
      <c r="H101" s="8">
        <v>0.70833333333333337</v>
      </c>
      <c r="I101" s="10" t="s">
        <v>149</v>
      </c>
      <c r="J101" s="11" t="s">
        <v>29</v>
      </c>
      <c r="K101" s="20">
        <v>2000000</v>
      </c>
      <c r="L101" s="20">
        <v>1000000</v>
      </c>
      <c r="M101" s="30">
        <v>5000</v>
      </c>
      <c r="N101" s="10">
        <v>2013</v>
      </c>
      <c r="O101" s="31">
        <f t="shared" si="1"/>
        <v>21</v>
      </c>
    </row>
    <row r="102" spans="1:15" ht="13.2" x14ac:dyDescent="0.25">
      <c r="A102" s="5" t="s">
        <v>190</v>
      </c>
      <c r="B102" s="5" t="s">
        <v>191</v>
      </c>
      <c r="C102" s="5" t="s">
        <v>13</v>
      </c>
      <c r="D102" s="23">
        <v>15</v>
      </c>
      <c r="E102" s="10" t="s">
        <v>19</v>
      </c>
      <c r="F102" s="10" t="s">
        <v>19</v>
      </c>
      <c r="G102" s="8">
        <v>0.58333333333333337</v>
      </c>
      <c r="H102" s="8">
        <v>0.70833333333333337</v>
      </c>
      <c r="I102" s="10" t="s">
        <v>42</v>
      </c>
      <c r="J102" s="11" t="s">
        <v>28</v>
      </c>
      <c r="K102" s="20">
        <v>2000000</v>
      </c>
      <c r="L102" s="20">
        <v>1800000</v>
      </c>
      <c r="M102" s="30">
        <v>5000</v>
      </c>
      <c r="N102" s="14">
        <v>1889</v>
      </c>
      <c r="O102" s="31">
        <f t="shared" si="1"/>
        <v>19</v>
      </c>
    </row>
    <row r="103" spans="1:15" ht="13.2" x14ac:dyDescent="0.25">
      <c r="A103" s="5" t="s">
        <v>131</v>
      </c>
      <c r="B103" s="5" t="s">
        <v>105</v>
      </c>
      <c r="C103" s="6" t="s">
        <v>25</v>
      </c>
      <c r="D103" s="23">
        <v>50</v>
      </c>
      <c r="E103" s="10" t="s">
        <v>19</v>
      </c>
      <c r="F103" s="10" t="s">
        <v>20</v>
      </c>
      <c r="G103" s="8">
        <v>0.35416666666666669</v>
      </c>
      <c r="H103" s="8">
        <v>0.72916666666666663</v>
      </c>
      <c r="I103" s="10" t="s">
        <v>41</v>
      </c>
      <c r="J103" s="11" t="s">
        <v>29</v>
      </c>
      <c r="K103" s="12">
        <v>5000000</v>
      </c>
      <c r="L103" s="20">
        <v>2000000</v>
      </c>
      <c r="M103" s="30">
        <v>4000</v>
      </c>
      <c r="N103" s="9">
        <v>0</v>
      </c>
      <c r="O103" s="31">
        <f t="shared" si="1"/>
        <v>0</v>
      </c>
    </row>
    <row r="104" spans="1:15" ht="13.2" x14ac:dyDescent="0.25">
      <c r="A104" t="s">
        <v>76</v>
      </c>
      <c r="B104" t="s">
        <v>77</v>
      </c>
      <c r="C104" t="s">
        <v>43</v>
      </c>
      <c r="D104" s="22">
        <v>50</v>
      </c>
      <c r="E104" s="9" t="s">
        <v>19</v>
      </c>
      <c r="F104" s="9" t="s">
        <v>19</v>
      </c>
      <c r="G104" s="7">
        <v>0.45833333333333331</v>
      </c>
      <c r="H104" s="7">
        <v>0.79166666666666663</v>
      </c>
      <c r="I104" s="9" t="s">
        <v>42</v>
      </c>
      <c r="J104" s="11" t="s">
        <v>29</v>
      </c>
      <c r="K104" s="20">
        <v>2000000</v>
      </c>
      <c r="L104" s="12">
        <v>1600000</v>
      </c>
      <c r="M104" s="29">
        <v>5000</v>
      </c>
      <c r="N104" s="9">
        <v>2011</v>
      </c>
      <c r="O104" s="31">
        <f t="shared" si="1"/>
        <v>21</v>
      </c>
    </row>
    <row r="105" spans="1:15" ht="13.2" x14ac:dyDescent="0.25">
      <c r="A105" t="s">
        <v>74</v>
      </c>
      <c r="B105" t="s">
        <v>43</v>
      </c>
      <c r="C105" t="s">
        <v>43</v>
      </c>
      <c r="D105" s="22">
        <v>0</v>
      </c>
      <c r="E105" s="9" t="s">
        <v>19</v>
      </c>
      <c r="F105" s="9" t="s">
        <v>19</v>
      </c>
      <c r="G105" s="7">
        <v>0.25</v>
      </c>
      <c r="H105" s="7">
        <v>0.75</v>
      </c>
      <c r="I105" s="9" t="s">
        <v>42</v>
      </c>
      <c r="J105" s="11" t="s">
        <v>29</v>
      </c>
      <c r="K105" s="20">
        <v>2000000</v>
      </c>
      <c r="L105" s="20">
        <v>1800000</v>
      </c>
      <c r="M105" s="29">
        <v>7000</v>
      </c>
      <c r="N105" s="9">
        <v>0</v>
      </c>
      <c r="O105" s="31">
        <f t="shared" si="1"/>
        <v>0</v>
      </c>
    </row>
    <row r="106" spans="1:15" ht="13.2" x14ac:dyDescent="0.25">
      <c r="A106" t="s">
        <v>75</v>
      </c>
      <c r="B106" t="s">
        <v>43</v>
      </c>
      <c r="C106" t="s">
        <v>43</v>
      </c>
      <c r="D106" s="22">
        <v>10</v>
      </c>
      <c r="E106" s="9" t="s">
        <v>19</v>
      </c>
      <c r="F106" s="9" t="s">
        <v>19</v>
      </c>
      <c r="G106" s="7">
        <v>0.375</v>
      </c>
      <c r="H106" s="7">
        <v>0.70833333333333337</v>
      </c>
      <c r="I106" s="9" t="s">
        <v>37</v>
      </c>
      <c r="J106" s="11" t="s">
        <v>35</v>
      </c>
      <c r="K106" s="20">
        <v>2000000</v>
      </c>
      <c r="L106" s="12">
        <v>1000000</v>
      </c>
      <c r="M106" s="29">
        <v>3000</v>
      </c>
      <c r="N106" s="9">
        <v>1909</v>
      </c>
      <c r="O106" s="31">
        <f t="shared" si="1"/>
        <v>20</v>
      </c>
    </row>
    <row r="107" spans="1:15" ht="13.2" x14ac:dyDescent="0.25">
      <c r="A107" t="s">
        <v>85</v>
      </c>
      <c r="B107" s="5" t="s">
        <v>18</v>
      </c>
      <c r="C107" s="5" t="s">
        <v>18</v>
      </c>
      <c r="D107" s="23">
        <v>0</v>
      </c>
      <c r="E107" s="10" t="s">
        <v>20</v>
      </c>
      <c r="F107" s="10" t="s">
        <v>19</v>
      </c>
      <c r="G107" s="8">
        <v>0.33333333333333331</v>
      </c>
      <c r="H107" s="8">
        <v>0.70833333333333337</v>
      </c>
      <c r="I107" s="10" t="s">
        <v>152</v>
      </c>
      <c r="J107" s="11" t="s">
        <v>32</v>
      </c>
      <c r="K107" s="20">
        <v>3500000</v>
      </c>
      <c r="L107" s="20">
        <v>1000000</v>
      </c>
      <c r="M107" s="30">
        <v>2000</v>
      </c>
      <c r="N107" s="14">
        <v>1800</v>
      </c>
      <c r="O107" s="31">
        <f t="shared" si="1"/>
        <v>18</v>
      </c>
    </row>
    <row r="108" spans="1:15" ht="13.2" x14ac:dyDescent="0.25">
      <c r="A108" s="5" t="s">
        <v>192</v>
      </c>
      <c r="B108" s="5" t="s">
        <v>193</v>
      </c>
      <c r="C108" s="5" t="s">
        <v>13</v>
      </c>
      <c r="D108" s="23">
        <v>0</v>
      </c>
      <c r="E108" s="10" t="s">
        <v>20</v>
      </c>
      <c r="F108" s="10" t="s">
        <v>20</v>
      </c>
      <c r="G108" s="8">
        <v>0.35416666666666669</v>
      </c>
      <c r="H108" s="8">
        <v>0.72916666666666663</v>
      </c>
      <c r="I108" s="10" t="s">
        <v>38</v>
      </c>
      <c r="J108" s="11" t="s">
        <v>36</v>
      </c>
      <c r="K108" s="20">
        <v>3500000</v>
      </c>
      <c r="L108" s="20">
        <v>1200000</v>
      </c>
      <c r="M108" s="30">
        <v>2000</v>
      </c>
      <c r="N108" s="9">
        <v>0</v>
      </c>
      <c r="O108" s="31">
        <f t="shared" si="1"/>
        <v>0</v>
      </c>
    </row>
    <row r="109" spans="1:15" ht="13.2" x14ac:dyDescent="0.25">
      <c r="A109" t="s">
        <v>78</v>
      </c>
      <c r="B109" t="s">
        <v>43</v>
      </c>
      <c r="C109" t="s">
        <v>43</v>
      </c>
      <c r="D109" s="22">
        <v>50</v>
      </c>
      <c r="E109" s="9" t="s">
        <v>19</v>
      </c>
      <c r="F109" s="9" t="s">
        <v>19</v>
      </c>
      <c r="G109" s="7">
        <v>0.41666666666666669</v>
      </c>
      <c r="H109" s="7">
        <v>0.70833333333333337</v>
      </c>
      <c r="I109" s="9" t="s">
        <v>149</v>
      </c>
      <c r="J109" s="11" t="s">
        <v>28</v>
      </c>
      <c r="K109" s="20">
        <v>10000000</v>
      </c>
      <c r="L109" s="12">
        <v>5000000</v>
      </c>
      <c r="M109" s="29">
        <v>6000</v>
      </c>
      <c r="N109" s="9">
        <v>1996</v>
      </c>
      <c r="O109" s="31">
        <f t="shared" si="1"/>
        <v>20</v>
      </c>
    </row>
    <row r="110" spans="1:15" ht="13.2" x14ac:dyDescent="0.25">
      <c r="A110" t="s">
        <v>171</v>
      </c>
      <c r="B110" s="5" t="s">
        <v>16</v>
      </c>
      <c r="C110" s="5" t="s">
        <v>16</v>
      </c>
      <c r="D110" s="22">
        <v>300</v>
      </c>
      <c r="E110" s="9" t="s">
        <v>19</v>
      </c>
      <c r="F110" s="9" t="s">
        <v>19</v>
      </c>
      <c r="G110" s="7">
        <v>0.375</v>
      </c>
      <c r="H110" s="7">
        <v>0.79166666666666663</v>
      </c>
      <c r="I110" s="9" t="s">
        <v>172</v>
      </c>
      <c r="J110" s="11" t="s">
        <v>36</v>
      </c>
      <c r="K110" s="12">
        <v>5000000</v>
      </c>
      <c r="L110" s="12">
        <v>1000000</v>
      </c>
      <c r="M110" s="29">
        <v>20000</v>
      </c>
      <c r="N110" s="9">
        <v>2004</v>
      </c>
      <c r="O110" s="31">
        <f t="shared" si="1"/>
        <v>21</v>
      </c>
    </row>
    <row r="111" spans="1:15" x14ac:dyDescent="0.25">
      <c r="A111" t="s">
        <v>118</v>
      </c>
      <c r="B111" t="s">
        <v>119</v>
      </c>
      <c r="C111" s="6" t="s">
        <v>25</v>
      </c>
      <c r="D111" s="22">
        <v>0</v>
      </c>
      <c r="E111" s="9" t="s">
        <v>19</v>
      </c>
      <c r="F111" s="9" t="s">
        <v>19</v>
      </c>
      <c r="G111" s="7">
        <v>0.25</v>
      </c>
      <c r="H111" s="7">
        <v>0.75</v>
      </c>
      <c r="I111" s="9" t="s">
        <v>41</v>
      </c>
      <c r="J111" s="11" t="s">
        <v>29</v>
      </c>
      <c r="K111" s="12">
        <v>5000000</v>
      </c>
      <c r="L111" s="12">
        <v>10000000</v>
      </c>
      <c r="M111" s="29">
        <v>3000</v>
      </c>
      <c r="N111" s="9">
        <v>0</v>
      </c>
      <c r="O111" s="31">
        <f t="shared" si="1"/>
        <v>0</v>
      </c>
    </row>
    <row r="112" spans="1:15" ht="13.2" x14ac:dyDescent="0.25">
      <c r="A112" t="s">
        <v>120</v>
      </c>
      <c r="B112" t="s">
        <v>119</v>
      </c>
      <c r="C112" s="6" t="s">
        <v>25</v>
      </c>
      <c r="D112" s="22">
        <v>0</v>
      </c>
      <c r="E112" s="9" t="s">
        <v>19</v>
      </c>
      <c r="F112" s="9" t="s">
        <v>19</v>
      </c>
      <c r="G112" s="7">
        <v>0.25</v>
      </c>
      <c r="H112" s="7">
        <v>0.75</v>
      </c>
      <c r="I112" s="9" t="s">
        <v>37</v>
      </c>
      <c r="J112" s="11" t="s">
        <v>36</v>
      </c>
      <c r="K112" s="20">
        <v>5000000</v>
      </c>
      <c r="L112" s="12">
        <v>10000000</v>
      </c>
      <c r="M112" s="29">
        <v>3000</v>
      </c>
      <c r="N112" s="9">
        <v>0</v>
      </c>
      <c r="O112" s="31">
        <f t="shared" si="1"/>
        <v>0</v>
      </c>
    </row>
    <row r="113" spans="1:15" ht="13.2" x14ac:dyDescent="0.25">
      <c r="A113" t="s">
        <v>121</v>
      </c>
      <c r="B113" t="s">
        <v>119</v>
      </c>
      <c r="C113" s="6" t="s">
        <v>25</v>
      </c>
      <c r="D113" s="22">
        <v>20</v>
      </c>
      <c r="E113" s="9" t="s">
        <v>19</v>
      </c>
      <c r="F113" s="9" t="s">
        <v>19</v>
      </c>
      <c r="G113" s="7">
        <v>0.25</v>
      </c>
      <c r="H113" s="7">
        <v>0.75</v>
      </c>
      <c r="I113" s="9" t="s">
        <v>149</v>
      </c>
      <c r="J113" s="11" t="s">
        <v>29</v>
      </c>
      <c r="K113" s="20">
        <v>2000000</v>
      </c>
      <c r="L113" s="12">
        <v>2500000</v>
      </c>
      <c r="M113" s="29">
        <v>3000</v>
      </c>
      <c r="N113" s="9">
        <v>0</v>
      </c>
      <c r="O113" s="31">
        <f t="shared" si="1"/>
        <v>0</v>
      </c>
    </row>
    <row r="114" spans="1:15" ht="13.2" x14ac:dyDescent="0.25">
      <c r="A114" t="s">
        <v>122</v>
      </c>
      <c r="B114" t="s">
        <v>119</v>
      </c>
      <c r="C114" s="6" t="s">
        <v>25</v>
      </c>
      <c r="D114" s="22">
        <v>0</v>
      </c>
      <c r="E114" s="9" t="s">
        <v>19</v>
      </c>
      <c r="F114" s="9" t="s">
        <v>19</v>
      </c>
      <c r="G114" s="7">
        <v>0.25</v>
      </c>
      <c r="H114" s="7">
        <v>0.75</v>
      </c>
      <c r="I114" s="9" t="s">
        <v>42</v>
      </c>
      <c r="J114" s="11" t="s">
        <v>28</v>
      </c>
      <c r="K114" s="20">
        <v>5000000</v>
      </c>
      <c r="L114" s="12">
        <v>2000000</v>
      </c>
      <c r="M114" s="29">
        <v>3000</v>
      </c>
      <c r="N114" s="9">
        <v>0</v>
      </c>
      <c r="O114" s="31">
        <f t="shared" si="1"/>
        <v>0</v>
      </c>
    </row>
    <row r="115" spans="1:15" ht="13.2" x14ac:dyDescent="0.25">
      <c r="A115" t="s">
        <v>123</v>
      </c>
      <c r="B115" t="s">
        <v>119</v>
      </c>
      <c r="C115" s="6" t="s">
        <v>25</v>
      </c>
      <c r="D115" s="22">
        <v>0</v>
      </c>
      <c r="E115" s="9" t="s">
        <v>19</v>
      </c>
      <c r="F115" s="9" t="s">
        <v>19</v>
      </c>
      <c r="G115" s="7">
        <v>0.25</v>
      </c>
      <c r="H115" s="7">
        <v>0.75</v>
      </c>
      <c r="I115" s="9" t="s">
        <v>149</v>
      </c>
      <c r="J115" s="11" t="s">
        <v>35</v>
      </c>
      <c r="K115" s="20">
        <v>5000000</v>
      </c>
      <c r="L115" s="20">
        <v>2500000</v>
      </c>
      <c r="M115" s="29">
        <v>3000</v>
      </c>
      <c r="N115" s="9">
        <v>0</v>
      </c>
      <c r="O115" s="31">
        <f t="shared" si="1"/>
        <v>0</v>
      </c>
    </row>
    <row r="116" spans="1:15" ht="13.2" x14ac:dyDescent="0.25">
      <c r="A116" t="s">
        <v>124</v>
      </c>
      <c r="B116" t="s">
        <v>119</v>
      </c>
      <c r="C116" s="6" t="s">
        <v>25</v>
      </c>
      <c r="D116" s="22">
        <v>0</v>
      </c>
      <c r="E116" s="9" t="s">
        <v>19</v>
      </c>
      <c r="F116" s="9" t="s">
        <v>19</v>
      </c>
      <c r="G116" s="7">
        <v>0.25</v>
      </c>
      <c r="H116" s="7">
        <v>0.75</v>
      </c>
      <c r="I116" s="9" t="s">
        <v>41</v>
      </c>
      <c r="J116" s="11" t="s">
        <v>35</v>
      </c>
      <c r="K116" s="12">
        <v>5000000</v>
      </c>
      <c r="L116" s="20">
        <v>2000000</v>
      </c>
      <c r="M116" s="29">
        <v>3000</v>
      </c>
      <c r="N116" s="9">
        <v>0</v>
      </c>
      <c r="O116" s="31">
        <f t="shared" si="1"/>
        <v>0</v>
      </c>
    </row>
    <row r="117" spans="1:15" ht="13.2" x14ac:dyDescent="0.25">
      <c r="A117" t="s">
        <v>125</v>
      </c>
      <c r="B117" t="s">
        <v>119</v>
      </c>
      <c r="C117" s="6" t="s">
        <v>25</v>
      </c>
      <c r="D117" s="22">
        <v>0</v>
      </c>
      <c r="E117" s="9" t="s">
        <v>19</v>
      </c>
      <c r="F117" s="9" t="s">
        <v>19</v>
      </c>
      <c r="G117" s="7">
        <v>0.25</v>
      </c>
      <c r="H117" s="7">
        <v>0.75</v>
      </c>
      <c r="I117" s="9" t="s">
        <v>41</v>
      </c>
      <c r="J117" s="11" t="s">
        <v>29</v>
      </c>
      <c r="K117" s="20">
        <v>3000000</v>
      </c>
      <c r="L117" s="20">
        <v>2000000</v>
      </c>
      <c r="M117" s="29">
        <v>3000</v>
      </c>
      <c r="N117" s="9">
        <v>0</v>
      </c>
      <c r="O117" s="31">
        <f t="shared" si="1"/>
        <v>0</v>
      </c>
    </row>
    <row r="118" spans="1:15" ht="13.2" x14ac:dyDescent="0.25">
      <c r="A118" t="s">
        <v>126</v>
      </c>
      <c r="B118" t="s">
        <v>119</v>
      </c>
      <c r="C118" s="6" t="s">
        <v>25</v>
      </c>
      <c r="D118" s="22">
        <v>0</v>
      </c>
      <c r="E118" s="9" t="s">
        <v>19</v>
      </c>
      <c r="F118" s="9" t="s">
        <v>19</v>
      </c>
      <c r="G118" s="7">
        <v>0.25</v>
      </c>
      <c r="H118" s="7">
        <v>0.75</v>
      </c>
      <c r="I118" s="9" t="s">
        <v>38</v>
      </c>
      <c r="J118" s="11" t="s">
        <v>101</v>
      </c>
      <c r="K118" s="20">
        <v>5000000</v>
      </c>
      <c r="L118" s="12">
        <v>4000000</v>
      </c>
      <c r="M118" s="29">
        <v>3000</v>
      </c>
      <c r="N118" s="9">
        <v>0</v>
      </c>
      <c r="O118" s="31">
        <f t="shared" si="1"/>
        <v>0</v>
      </c>
    </row>
    <row r="119" spans="1:15" ht="13.2" x14ac:dyDescent="0.25">
      <c r="A119" t="s">
        <v>127</v>
      </c>
      <c r="B119" t="s">
        <v>119</v>
      </c>
      <c r="C119" s="6" t="s">
        <v>25</v>
      </c>
      <c r="D119" s="22">
        <v>0</v>
      </c>
      <c r="E119" s="9" t="s">
        <v>19</v>
      </c>
      <c r="F119" s="9" t="s">
        <v>19</v>
      </c>
      <c r="G119" s="7">
        <v>0.25</v>
      </c>
      <c r="H119" s="7">
        <v>0.75</v>
      </c>
      <c r="I119" s="9" t="s">
        <v>37</v>
      </c>
      <c r="J119" s="11" t="s">
        <v>36</v>
      </c>
      <c r="K119" s="20">
        <v>5000000</v>
      </c>
      <c r="L119" s="12">
        <v>10000000</v>
      </c>
      <c r="M119" s="29">
        <v>3000</v>
      </c>
      <c r="N119" s="9">
        <v>0</v>
      </c>
      <c r="O119" s="31">
        <f t="shared" si="1"/>
        <v>0</v>
      </c>
    </row>
    <row r="120" spans="1:15" ht="13.2" x14ac:dyDescent="0.25">
      <c r="A120" t="s">
        <v>128</v>
      </c>
      <c r="B120" t="s">
        <v>119</v>
      </c>
      <c r="C120" s="6" t="s">
        <v>25</v>
      </c>
      <c r="D120" s="22">
        <v>0</v>
      </c>
      <c r="E120" s="9" t="s">
        <v>19</v>
      </c>
      <c r="F120" s="9" t="s">
        <v>19</v>
      </c>
      <c r="G120" s="7">
        <v>0.25</v>
      </c>
      <c r="H120" s="7">
        <v>0.75</v>
      </c>
      <c r="I120" s="9" t="s">
        <v>38</v>
      </c>
      <c r="J120" s="11" t="s">
        <v>101</v>
      </c>
      <c r="K120" s="20">
        <v>2000000</v>
      </c>
      <c r="L120" s="12">
        <v>2500000</v>
      </c>
      <c r="M120" s="29">
        <v>3000</v>
      </c>
      <c r="N120" s="9">
        <v>0</v>
      </c>
      <c r="O120" s="31">
        <f t="shared" si="1"/>
        <v>0</v>
      </c>
    </row>
    <row r="121" spans="1:15" ht="13.2" x14ac:dyDescent="0.25">
      <c r="A121" t="s">
        <v>67</v>
      </c>
      <c r="B121" t="s">
        <v>44</v>
      </c>
      <c r="C121" t="s">
        <v>12</v>
      </c>
      <c r="D121" s="22">
        <v>15</v>
      </c>
      <c r="E121" s="9" t="s">
        <v>19</v>
      </c>
      <c r="F121" s="9" t="s">
        <v>19</v>
      </c>
      <c r="G121" s="7">
        <v>0.25</v>
      </c>
      <c r="H121" s="7">
        <v>0.75</v>
      </c>
      <c r="I121" s="9" t="s">
        <v>149</v>
      </c>
      <c r="J121" s="11" t="s">
        <v>27</v>
      </c>
      <c r="K121" s="20">
        <v>100000</v>
      </c>
      <c r="L121" s="12">
        <v>80000</v>
      </c>
      <c r="M121" s="29">
        <v>1500</v>
      </c>
      <c r="N121" s="9">
        <v>1820</v>
      </c>
      <c r="O121" s="31">
        <f t="shared" si="1"/>
        <v>19</v>
      </c>
    </row>
    <row r="122" spans="1:15" ht="13.2" x14ac:dyDescent="0.25">
      <c r="A122" t="s">
        <v>69</v>
      </c>
      <c r="B122" t="s">
        <v>56</v>
      </c>
      <c r="C122" t="s">
        <v>12</v>
      </c>
      <c r="D122" s="22">
        <v>0</v>
      </c>
      <c r="E122" s="9" t="s">
        <v>19</v>
      </c>
      <c r="F122" s="9" t="s">
        <v>19</v>
      </c>
      <c r="G122" s="7">
        <v>0.25</v>
      </c>
      <c r="H122" s="7">
        <v>0.75</v>
      </c>
      <c r="I122" s="9" t="s">
        <v>42</v>
      </c>
      <c r="J122" s="11" t="s">
        <v>33</v>
      </c>
      <c r="K122" s="20">
        <v>5000000</v>
      </c>
      <c r="L122" s="12">
        <v>2000000</v>
      </c>
      <c r="M122" s="29">
        <v>3000</v>
      </c>
      <c r="N122" s="9">
        <v>0</v>
      </c>
      <c r="O122" s="31">
        <f t="shared" si="1"/>
        <v>0</v>
      </c>
    </row>
    <row r="123" spans="1:15" ht="13.2" x14ac:dyDescent="0.25">
      <c r="A123" t="s">
        <v>70</v>
      </c>
      <c r="B123" t="s">
        <v>56</v>
      </c>
      <c r="C123" t="s">
        <v>12</v>
      </c>
      <c r="D123" s="22">
        <v>0</v>
      </c>
      <c r="E123" s="9" t="s">
        <v>19</v>
      </c>
      <c r="F123" s="9" t="s">
        <v>19</v>
      </c>
      <c r="G123" s="7">
        <v>0.41666666666666669</v>
      </c>
      <c r="H123" s="7">
        <v>0.70833333333333337</v>
      </c>
      <c r="I123" s="9" t="s">
        <v>149</v>
      </c>
      <c r="J123" s="11" t="s">
        <v>28</v>
      </c>
      <c r="K123" s="12">
        <v>5000000</v>
      </c>
      <c r="L123" s="20">
        <v>2500000</v>
      </c>
      <c r="M123" s="29">
        <v>1500</v>
      </c>
      <c r="N123" s="9">
        <v>2008</v>
      </c>
      <c r="O123" s="31">
        <f t="shared" si="1"/>
        <v>21</v>
      </c>
    </row>
    <row r="124" spans="1:15" x14ac:dyDescent="0.25">
      <c r="A124" t="s">
        <v>71</v>
      </c>
      <c r="B124" t="s">
        <v>56</v>
      </c>
      <c r="C124" t="s">
        <v>12</v>
      </c>
      <c r="D124" s="22">
        <v>100</v>
      </c>
      <c r="E124" s="9" t="s">
        <v>19</v>
      </c>
      <c r="F124" s="9" t="s">
        <v>19</v>
      </c>
      <c r="G124" s="7">
        <v>0.25</v>
      </c>
      <c r="H124" s="7">
        <v>0.75</v>
      </c>
      <c r="I124" s="9" t="s">
        <v>149</v>
      </c>
      <c r="J124" s="11" t="s">
        <v>28</v>
      </c>
      <c r="K124" s="12">
        <v>5000000</v>
      </c>
      <c r="L124" s="12">
        <v>3000000</v>
      </c>
      <c r="M124" s="29">
        <v>2000</v>
      </c>
      <c r="N124" s="9">
        <v>2013</v>
      </c>
      <c r="O124" s="31">
        <f t="shared" si="1"/>
        <v>21</v>
      </c>
    </row>
    <row r="125" spans="1:15" ht="13.2" x14ac:dyDescent="0.25">
      <c r="A125" t="s">
        <v>194</v>
      </c>
      <c r="B125" t="s">
        <v>14</v>
      </c>
      <c r="C125" t="s">
        <v>14</v>
      </c>
      <c r="D125" s="22">
        <v>25</v>
      </c>
      <c r="E125" s="9" t="s">
        <v>19</v>
      </c>
      <c r="F125" s="9" t="s">
        <v>19</v>
      </c>
      <c r="G125" s="7">
        <v>0.25</v>
      </c>
      <c r="H125" s="7">
        <v>0.75</v>
      </c>
      <c r="I125" s="9" t="s">
        <v>149</v>
      </c>
      <c r="J125" s="11" t="s">
        <v>29</v>
      </c>
      <c r="K125" s="20">
        <v>10000000</v>
      </c>
      <c r="L125" s="12">
        <v>5000000</v>
      </c>
      <c r="M125" s="29">
        <v>3000</v>
      </c>
      <c r="N125" s="9">
        <v>1972</v>
      </c>
      <c r="O125" s="31">
        <f t="shared" si="1"/>
        <v>20</v>
      </c>
    </row>
  </sheetData>
  <mergeCells count="2">
    <mergeCell ref="A2:K2"/>
    <mergeCell ref="Q26:S27"/>
  </mergeCells>
  <conditionalFormatting sqref="B5:B28 B50:B52 B43:B44 B46:B48 B54:B72 B74:B83 B85:B87 B89:B100 B102:B109 B111:B125 B30:B40">
    <cfRule type="containsText" dxfId="2" priority="3" operator="containsText" text="রাঙ্গামাটি">
      <formula>NOT(ISERROR(SEARCH("রাঙ্গামাটি",B5)))</formula>
    </cfRule>
  </conditionalFormatting>
  <conditionalFormatting sqref="B88:B89">
    <cfRule type="containsText" dxfId="1" priority="2" operator="containsText" text="রাঙ্গামাটি">
      <formula>NOT(ISERROR(SEARCH("রাঙ্গামাটি",B88)))</formula>
    </cfRule>
  </conditionalFormatting>
  <conditionalFormatting sqref="B41:B42">
    <cfRule type="containsText" dxfId="0" priority="1" operator="containsText" text="রাঙ্গামাটি">
      <formula>NOT(ISERROR(SEARCH("রাঙ্গামাটি",B41)))</formula>
    </cfRule>
  </conditionalFormatting>
  <pageMargins left="0.7" right="0.7" top="0.75" bottom="0.75" header="0.3" footer="0.3"/>
  <pageSetup orientation="portrait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90755-53BE-4EC6-B017-561650B25108}">
  <sheetPr codeName="Sheet2"/>
  <dimension ref="A1:Q31"/>
  <sheetViews>
    <sheetView tabSelected="1" zoomScale="113" zoomScaleNormal="177" workbookViewId="0">
      <selection activeCell="K21" sqref="K21"/>
    </sheetView>
  </sheetViews>
  <sheetFormatPr defaultRowHeight="12" x14ac:dyDescent="0.25"/>
  <sheetData>
    <row r="1" spans="1:14" x14ac:dyDescent="0.25">
      <c r="C1" t="s">
        <v>21</v>
      </c>
    </row>
    <row r="2" spans="1:14" ht="12.6" x14ac:dyDescent="0.3">
      <c r="A2" s="2"/>
      <c r="C2" t="s">
        <v>19</v>
      </c>
    </row>
    <row r="3" spans="1:14" ht="12.6" x14ac:dyDescent="0.3">
      <c r="A3" s="2"/>
      <c r="C3" t="s">
        <v>20</v>
      </c>
      <c r="F3" t="s">
        <v>26</v>
      </c>
      <c r="K3" t="s">
        <v>30</v>
      </c>
      <c r="N3" t="s">
        <v>6</v>
      </c>
    </row>
    <row r="4" spans="1:14" ht="14.4" x14ac:dyDescent="0.35">
      <c r="A4" s="2"/>
      <c r="F4" s="1" t="s">
        <v>43</v>
      </c>
      <c r="K4" t="s">
        <v>31</v>
      </c>
      <c r="N4" t="s">
        <v>37</v>
      </c>
    </row>
    <row r="5" spans="1:14" ht="12.6" x14ac:dyDescent="0.3">
      <c r="A5" s="2"/>
      <c r="F5" s="2" t="s">
        <v>12</v>
      </c>
      <c r="K5" t="s">
        <v>32</v>
      </c>
      <c r="N5" t="s">
        <v>38</v>
      </c>
    </row>
    <row r="6" spans="1:14" ht="12.6" x14ac:dyDescent="0.3">
      <c r="A6" s="2"/>
      <c r="F6" s="2" t="s">
        <v>13</v>
      </c>
      <c r="K6" t="s">
        <v>33</v>
      </c>
      <c r="N6" t="s">
        <v>39</v>
      </c>
    </row>
    <row r="7" spans="1:14" ht="12.6" x14ac:dyDescent="0.3">
      <c r="A7" s="2"/>
      <c r="F7" s="2" t="s">
        <v>16</v>
      </c>
      <c r="K7" t="s">
        <v>34</v>
      </c>
      <c r="N7" t="s">
        <v>40</v>
      </c>
    </row>
    <row r="8" spans="1:14" ht="12.6" x14ac:dyDescent="0.3">
      <c r="A8" s="2"/>
      <c r="F8" s="2" t="s">
        <v>14</v>
      </c>
      <c r="K8" t="s">
        <v>35</v>
      </c>
      <c r="N8" t="s">
        <v>41</v>
      </c>
    </row>
    <row r="9" spans="1:14" ht="12.6" x14ac:dyDescent="0.3">
      <c r="A9" s="2"/>
      <c r="F9" s="2" t="s">
        <v>15</v>
      </c>
      <c r="K9" t="s">
        <v>36</v>
      </c>
      <c r="N9" t="s">
        <v>42</v>
      </c>
    </row>
    <row r="10" spans="1:14" ht="12.6" x14ac:dyDescent="0.3">
      <c r="A10" s="2"/>
      <c r="F10" s="2" t="s">
        <v>17</v>
      </c>
      <c r="K10" t="s">
        <v>27</v>
      </c>
      <c r="N10" t="s">
        <v>181</v>
      </c>
    </row>
    <row r="11" spans="1:14" ht="12.6" x14ac:dyDescent="0.3">
      <c r="F11" s="2" t="s">
        <v>18</v>
      </c>
      <c r="K11" t="s">
        <v>28</v>
      </c>
    </row>
    <row r="12" spans="1:14" ht="12.6" x14ac:dyDescent="0.3">
      <c r="F12" s="2" t="s">
        <v>25</v>
      </c>
      <c r="K12" t="s">
        <v>29</v>
      </c>
    </row>
    <row r="17" spans="4:17" ht="14.4" x14ac:dyDescent="0.35"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4:17" ht="12.6" x14ac:dyDescent="0.3">
      <c r="H18" s="2"/>
    </row>
    <row r="19" spans="4:17" ht="12.6" x14ac:dyDescent="0.3">
      <c r="H19" s="2"/>
    </row>
    <row r="20" spans="4:17" ht="12.6" x14ac:dyDescent="0.3">
      <c r="H20" s="2"/>
    </row>
    <row r="21" spans="4:17" ht="12.6" x14ac:dyDescent="0.3">
      <c r="H21" s="2"/>
    </row>
    <row r="22" spans="4:17" ht="12.6" x14ac:dyDescent="0.3">
      <c r="H22" s="2"/>
    </row>
    <row r="23" spans="4:17" ht="12.6" x14ac:dyDescent="0.3">
      <c r="H23" s="2"/>
    </row>
    <row r="24" spans="4:17" ht="12.6" x14ac:dyDescent="0.3">
      <c r="H24" s="2"/>
    </row>
    <row r="25" spans="4:17" ht="12.6" x14ac:dyDescent="0.3">
      <c r="H25" s="2"/>
    </row>
    <row r="26" spans="4:17" ht="12.6" x14ac:dyDescent="0.3">
      <c r="H26" s="2"/>
    </row>
    <row r="27" spans="4:17" ht="12.6" x14ac:dyDescent="0.3">
      <c r="H27" s="2"/>
    </row>
    <row r="28" spans="4:17" ht="12.6" x14ac:dyDescent="0.3">
      <c r="H28" s="2"/>
    </row>
    <row r="29" spans="4:17" ht="12.6" x14ac:dyDescent="0.3">
      <c r="H29" s="2"/>
    </row>
    <row r="30" spans="4:17" ht="12.6" x14ac:dyDescent="0.3">
      <c r="H30" s="2"/>
    </row>
    <row r="31" spans="4:17" ht="12.6" x14ac:dyDescent="0.3">
      <c r="H31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</vt:i4>
      </vt:variant>
    </vt:vector>
  </HeadingPairs>
  <TitlesOfParts>
    <vt:vector size="19" baseType="lpstr">
      <vt:lpstr>Data Entry Form</vt:lpstr>
      <vt:lpstr>Data Shet</vt:lpstr>
      <vt:lpstr>Question sheet</vt:lpstr>
      <vt:lpstr>Ans. Q1</vt:lpstr>
      <vt:lpstr>Ans. Q2</vt:lpstr>
      <vt:lpstr>Ans. Q3</vt:lpstr>
      <vt:lpstr>Ans. Q4</vt:lpstr>
      <vt:lpstr>Ans. Q5</vt:lpstr>
      <vt:lpstr>Ans. Q6</vt:lpstr>
      <vt:lpstr>Ans. Q7</vt:lpstr>
      <vt:lpstr>Ans. Q8</vt:lpstr>
      <vt:lpstr>Ans. Q9</vt:lpstr>
      <vt:lpstr>Data Form eliment</vt:lpstr>
      <vt:lpstr>Car_parking</vt:lpstr>
      <vt:lpstr>Division</vt:lpstr>
      <vt:lpstr>Divition</vt:lpstr>
      <vt:lpstr>Peak__Time</vt:lpstr>
      <vt:lpstr>Peak_Time</vt:lpstr>
      <vt:lpstr>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2025-01-11T12:01:41Z</dcterms:created>
  <dcterms:modified xsi:type="dcterms:W3CDTF">2025-01-29T10:32:16Z</dcterms:modified>
</cp:coreProperties>
</file>